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1379670\Desktop\Robot5\eval\"/>
    </mc:Choice>
  </mc:AlternateContent>
  <xr:revisionPtr revIDLastSave="0" documentId="13_ncr:1_{D3E00157-2B43-42D4-9CAD-9944B8ABC8E1}" xr6:coauthVersionLast="47" xr6:coauthVersionMax="47" xr10:uidLastSave="{00000000-0000-0000-0000-000000000000}"/>
  <bookViews>
    <workbookView xWindow="350" yWindow="1500" windowWidth="16110" windowHeight="1537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 l="1"/>
  <c r="I19" i="1"/>
  <c r="H20" i="1"/>
  <c r="I20" i="1"/>
  <c r="H21" i="1"/>
  <c r="I21" i="1"/>
  <c r="H22" i="1"/>
  <c r="I22" i="1"/>
  <c r="H23" i="1"/>
  <c r="I23" i="1"/>
  <c r="H24" i="1"/>
  <c r="I24" i="1"/>
  <c r="G20" i="1"/>
  <c r="G21" i="1"/>
  <c r="G22" i="1"/>
  <c r="G23" i="1"/>
  <c r="G24" i="1"/>
  <c r="G19" i="1"/>
  <c r="M23" i="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U43" i="1"/>
  <c r="W43" i="1" s="1"/>
  <c r="U24" i="1"/>
  <c r="W24" i="1" s="1"/>
  <c r="U40" i="1"/>
  <c r="W40" i="1" s="1"/>
  <c r="U42" i="1"/>
  <c r="W42" i="1" s="1"/>
  <c r="U38" i="1"/>
  <c r="W38" i="1" s="1"/>
  <c r="U33" i="1"/>
  <c r="W33" i="1" s="1"/>
  <c r="U28" i="1"/>
  <c r="W28" i="1" s="1"/>
  <c r="U39" i="1"/>
  <c r="W39" i="1" s="1"/>
  <c r="U25" i="1"/>
  <c r="W25" i="1" s="1"/>
  <c r="V25" i="1"/>
  <c r="U30" i="1"/>
  <c r="W30" i="1" s="1"/>
  <c r="U32" i="1"/>
  <c r="W32" i="1" s="1"/>
  <c r="U36" i="1"/>
  <c r="W36" i="1" s="1"/>
  <c r="U34" i="1"/>
  <c r="W34" i="1" s="1"/>
  <c r="U35" i="1"/>
  <c r="W35" i="1" s="1"/>
  <c r="U31" i="1"/>
  <c r="W31" i="1" s="1"/>
  <c r="U27" i="1"/>
  <c r="W27" i="1" s="1"/>
  <c r="U29" i="1"/>
  <c r="W29" i="1" s="1"/>
  <c r="O22" i="1"/>
  <c r="P22" i="1" s="1"/>
  <c r="S22" i="1" s="1"/>
  <c r="T22" i="1" s="1"/>
  <c r="O21" i="1"/>
  <c r="P21" i="1" s="1"/>
  <c r="S21" i="1" s="1"/>
  <c r="T21" i="1" s="1"/>
  <c r="U21" i="1" s="1"/>
  <c r="O19" i="1"/>
  <c r="P19" i="1" s="1"/>
  <c r="S19" i="1" s="1"/>
  <c r="S20" i="1"/>
  <c r="T20" i="1" s="1"/>
  <c r="V26" i="1" l="1"/>
  <c r="V31" i="1"/>
  <c r="V34" i="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<sst xmlns="http://schemas.openxmlformats.org/spreadsheetml/2006/main" count="122" uniqueCount="102">
  <si>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</si>
  <si>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</si>
  <si>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</si>
  <si>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</si>
  <si>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</si>
  <si>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</si>
  <si>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</si>
  <si>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</si>
  <si>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</si>
  <si>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</si>
  <si>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</si>
  <si>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</si>
  <si>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</si>
  <si>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</si>
  <si>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</si>
  <si>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</si>
  <si>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</si>
  <si>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</si>
  <si>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</si>
  <si>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</si>
  <si>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</si>
  <si>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</si>
  <si>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</si>
  <si>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</si>
  <si>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</si>
  <si>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</si>
  <si>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</si>
  <si>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</si>
  <si>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</si>
  <si>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</si>
  <si>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</si>
  <si>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</si>
  <si>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</si>
  <si>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</si>
  <si>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</si>
  <si>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</si>
  <si>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</si>
  <si>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</si>
  <si>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</si>
  <si>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</si>
  <si>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</si>
  <si>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</si>
  <si>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</si>
  <si>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</si>
  <si>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</si>
  <si>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</si>
  <si>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</si>
  <si>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</si>
  <si>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</si>
  <si>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</si>
  <si>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</si>
  <si>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</si>
  <si>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</si>
  <si>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</si>
  <si>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</si>
  <si>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</si>
  <si>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</si>
  <si>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</si>
  <si>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</si>
  <si>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</si>
  <si>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</si>
  <si>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</si>
  <si>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</si>
  <si>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</si>
  <si>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</si>
  <si>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</si>
  <si>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</si>
  <si>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</si>
  <si>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</si>
  <si>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</si>
  <si>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</si>
  <si>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</si>
  <si>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</si>
  <si>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</si>
  <si>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</si>
  <si>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</si>
  <si>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</si>
  <si>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</si>
  <si>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</si>
  <si>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</si>
  <si>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</si>
  <si>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</si>
  <si>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</si>
  <si>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</si>
  <si>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</si>
  <si>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</si>
  <si>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</si>
  <si>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</si>
  <si>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</si>
  <si>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</si>
  <si>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</si>
  <si>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</si>
  <si>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</si>
  <si>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</si>
  <si>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</si>
  <si>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</si>
  <si>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Dumesnil Laurent</t>
  </si>
  <si>
    <t>Proulx Jérémie</t>
  </si>
  <si>
    <t>Julien Lamontagne</t>
  </si>
  <si>
    <t>Yanis Boumazouzi</t>
  </si>
  <si>
    <t>Isabela Forest Martinez</t>
  </si>
  <si>
    <t>Marie Joëlle Isabelle Ndioukane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</si>
</sst>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Border="1" applyAlignment="1" applyProtection="1">
      <alignment vertical="center" wrapText="1"/>
      <protection hidden="1"/>
    </xf>
    <xf numFmtId="0" fontId="0" fillId="0" borderId="0" xfId="0" applyBorder="1" applyAlignment="1" applyProtection="1">
      <alignment horizontal="right" vertical="center" wrapText="1"/>
      <protection hidden="1"/>
    </xf>
    <xf numFmtId="0" fontId="0" fillId="0" borderId="0" xfId="0" applyBorder="1"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Border="1" applyAlignment="1" applyProtection="1">
      <alignment horizontal="right"/>
      <protection hidden="1"/>
    </xf>
    <xf numFmtId="0" fontId="5" fillId="3" borderId="0" xfId="0" applyFont="1" applyFill="1" applyBorder="1" applyAlignment="1" applyProtection="1">
      <alignment horizontal="left"/>
      <protection hidden="1"/>
    </xf>
    <xf numFmtId="0" fontId="5" fillId="3" borderId="0" xfId="0" applyFont="1" applyFill="1" applyBorder="1" applyAlignment="1" applyProtection="1">
      <alignment horizontal="center"/>
      <protection hidden="1"/>
    </xf>
    <xf numFmtId="0" fontId="9" fillId="0" borderId="0" xfId="0" applyFont="1" applyBorder="1" applyAlignment="1" applyProtection="1">
      <alignment horizontal="center" vertical="center" wrapText="1"/>
      <protection hidden="1"/>
    </xf>
    <xf numFmtId="0" fontId="3" fillId="0" borderId="0" xfId="0" applyFont="1" applyBorder="1" applyAlignment="1" applyProtection="1">
      <alignment horizontal="right" vertical="center" textRotation="90" wrapText="1"/>
      <protection hidden="1"/>
    </xf>
    <xf numFmtId="0" fontId="11" fillId="0" borderId="0" xfId="0" applyFont="1" applyBorder="1" applyAlignment="1" applyProtection="1">
      <alignment horizontal="center" vertical="top" wrapText="1"/>
      <protection hidden="1"/>
    </xf>
    <xf numFmtId="0" fontId="10" fillId="0" borderId="0" xfId="0" applyFont="1" applyBorder="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0" xfId="0" applyProtection="1">
      <protection hidden="1"/>
    </xf>
    <xf numFmtId="164" fontId="0" fillId="0" borderId="0" xfId="1" applyNumberFormat="1" applyFont="1" applyAlignment="1" applyProtection="1">
      <alignment horizontal="center"/>
      <protection hidden="1"/>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workbookViewId="0">
      <selection activeCell="E24" sqref="E24"/>
    </sheetView>
  </sheetViews>
  <sheetFormatPr baseColWidth="10" defaultColWidth="9" defaultRowHeight="14.5" x14ac:dyDescent="0.35"/>
  <cols>
    <col min="1" max="1" width="3" style="49" customWidth="1"/>
    <col min="2" max="2" width="7" style="49" customWidth="1"/>
    <col min="3" max="3" width="3" style="49" customWidth="1"/>
    <col min="4" max="4" width="12" style="49" customWidth="1"/>
    <col min="5" max="5" width="18.81640625" style="49" customWidth="1"/>
    <col min="6" max="6" width="34.453125" style="49" customWidth="1"/>
    <col min="7" max="9" width="13.7265625" style="2" customWidth="1"/>
    <col min="10" max="10" width="6.7265625" style="2" customWidth="1"/>
    <col min="11" max="11" width="13.7265625" style="2" customWidth="1"/>
    <col min="12" max="12" width="11.26953125" style="1" customWidth="1"/>
    <col min="13" max="13" width="12.36328125" style="3" hidden="1" customWidth="1"/>
    <col min="14" max="14" width="11.26953125" style="2" hidden="1" customWidth="1"/>
    <col min="15" max="22" width="9" style="2" hidden="1" customWidth="1"/>
    <col min="23" max="23" width="10" style="2" hidden="1" customWidth="1"/>
    <col min="24" max="25" width="9" style="49" hidden="1" customWidth="1"/>
    <col min="26" max="27" width="9" style="2" hidden="1" customWidth="1"/>
    <col min="28" max="16384" width="9" style="49"/>
  </cols>
  <sheetData>
    <row r="2" spans="2:22" ht="15" thickBot="1" x14ac:dyDescent="0.4">
      <c r="B2" s="87" t="s">
        <v>49</v>
      </c>
    </row>
    <row r="3" spans="2:22" ht="15" thickBot="1" x14ac:dyDescent="0.4">
      <c r="B3" s="87"/>
      <c r="D3" s="107" t="s">
        <v>53</v>
      </c>
      <c r="E3" s="108"/>
      <c r="F3" s="108"/>
      <c r="G3" s="109">
        <v>6</v>
      </c>
      <c r="H3" s="109"/>
      <c r="I3" s="109"/>
      <c r="J3" s="109"/>
      <c r="K3" s="110"/>
    </row>
    <row r="4" spans="2:22" ht="15" thickBot="1" x14ac:dyDescent="0.4">
      <c r="B4" s="87"/>
    </row>
    <row r="5" spans="2:22" ht="15" thickBot="1" x14ac:dyDescent="0.4">
      <c r="B5" s="87"/>
      <c r="D5" s="107" t="s">
        <v>11</v>
      </c>
      <c r="E5" s="108"/>
      <c r="F5" s="108"/>
      <c r="G5" s="91">
        <v>0.85</v>
      </c>
      <c r="H5" s="91"/>
      <c r="I5" s="91"/>
      <c r="J5" s="91"/>
      <c r="K5" s="92"/>
    </row>
    <row r="6" spans="2:22" ht="15" thickBot="1" x14ac:dyDescent="0.4">
      <c r="B6" s="87"/>
      <c r="G6" s="93" t="s">
        <v>34</v>
      </c>
      <c r="H6" s="93"/>
      <c r="I6" s="93"/>
      <c r="J6" s="93"/>
      <c r="K6" s="93"/>
    </row>
    <row r="7" spans="2:22" x14ac:dyDescent="0.35">
      <c r="B7" s="87"/>
      <c r="D7" s="105" t="s">
        <v>16</v>
      </c>
      <c r="E7" s="106"/>
      <c r="F7" s="106"/>
      <c r="G7" s="94">
        <v>0.6</v>
      </c>
      <c r="H7" s="94"/>
      <c r="I7" s="94"/>
      <c r="J7" s="94"/>
      <c r="K7" s="95"/>
    </row>
    <row r="8" spans="2:22" ht="15" thickBot="1" x14ac:dyDescent="0.4">
      <c r="B8" s="87"/>
      <c r="D8" s="103" t="s">
        <v>17</v>
      </c>
      <c r="E8" s="104"/>
      <c r="F8" s="104"/>
      <c r="G8" s="96">
        <f>1-G7</f>
        <v>0.4</v>
      </c>
      <c r="H8" s="96"/>
      <c r="I8" s="96"/>
      <c r="J8" s="96"/>
      <c r="K8" s="97"/>
      <c r="V8" s="4"/>
    </row>
    <row r="9" spans="2:22" ht="15" thickBot="1" x14ac:dyDescent="0.4">
      <c r="B9" s="87"/>
      <c r="E9" s="1"/>
      <c r="F9" s="1"/>
      <c r="G9" s="98"/>
      <c r="H9" s="98"/>
      <c r="I9" s="98"/>
      <c r="J9" s="98"/>
      <c r="K9" s="98"/>
    </row>
    <row r="10" spans="2:22" x14ac:dyDescent="0.35">
      <c r="B10" s="87"/>
      <c r="D10" s="101" t="s">
        <v>20</v>
      </c>
      <c r="E10" s="102"/>
      <c r="F10" s="102"/>
      <c r="G10" s="89">
        <v>0.5</v>
      </c>
      <c r="H10" s="89"/>
      <c r="I10" s="89"/>
      <c r="J10" s="89"/>
      <c r="K10" s="90"/>
    </row>
    <row r="11" spans="2:22" ht="15" thickBot="1" x14ac:dyDescent="0.4">
      <c r="B11" s="87"/>
      <c r="D11" s="99" t="s">
        <v>47</v>
      </c>
      <c r="E11" s="100"/>
      <c r="F11" s="100"/>
      <c r="G11" s="113">
        <f ca="1">V44</f>
        <v>0</v>
      </c>
      <c r="H11" s="113"/>
      <c r="I11" s="113"/>
      <c r="J11" s="113"/>
      <c r="K11" s="114"/>
    </row>
    <row r="12" spans="2:22" x14ac:dyDescent="0.35">
      <c r="B12" s="87"/>
      <c r="D12" s="1"/>
      <c r="E12" s="2"/>
      <c r="F12" s="2"/>
      <c r="K12" s="79" t="s">
        <v>75</v>
      </c>
    </row>
    <row r="13" spans="2:22" x14ac:dyDescent="0.35">
      <c r="D13" s="1"/>
      <c r="E13" s="2"/>
      <c r="F13" s="2"/>
    </row>
    <row r="14" spans="2:22" ht="15" thickBot="1" x14ac:dyDescent="0.4">
      <c r="B14" s="88" t="s">
        <v>48</v>
      </c>
    </row>
    <row r="15" spans="2:22" ht="15" thickTop="1" x14ac:dyDescent="0.35">
      <c r="B15" s="88"/>
      <c r="D15" s="21"/>
      <c r="E15" s="22"/>
      <c r="F15" s="22"/>
      <c r="G15" s="24" t="s">
        <v>6</v>
      </c>
      <c r="H15" s="23" t="s">
        <v>7</v>
      </c>
      <c r="I15" s="25" t="s">
        <v>8</v>
      </c>
      <c r="J15" s="111" t="s">
        <v>9</v>
      </c>
      <c r="K15" s="112"/>
    </row>
    <row r="16" spans="2:22" x14ac:dyDescent="0.35">
      <c r="B16" s="88"/>
      <c r="D16" s="12"/>
      <c r="E16" s="13"/>
      <c r="F16" s="51" t="s">
        <v>4</v>
      </c>
      <c r="G16" s="80">
        <v>0.4</v>
      </c>
      <c r="H16" s="81">
        <v>0.4</v>
      </c>
      <c r="I16" s="82">
        <v>0.2</v>
      </c>
      <c r="J16" s="62"/>
      <c r="K16" s="14"/>
    </row>
    <row r="17" spans="2:27" x14ac:dyDescent="0.35">
      <c r="B17" s="88"/>
      <c r="D17" s="12"/>
      <c r="E17" s="13"/>
      <c r="F17" s="51" t="s">
        <v>5</v>
      </c>
      <c r="G17" s="26">
        <v>1</v>
      </c>
      <c r="H17" s="9">
        <v>1</v>
      </c>
      <c r="I17" s="27">
        <v>1</v>
      </c>
      <c r="J17" s="9"/>
      <c r="K17" s="14"/>
    </row>
    <row r="18" spans="2:27" ht="15" thickBot="1" x14ac:dyDescent="0.4">
      <c r="B18" s="88"/>
      <c r="D18" s="12"/>
      <c r="E18" s="53" t="s">
        <v>51</v>
      </c>
      <c r="F18" s="52" t="s">
        <v>50</v>
      </c>
      <c r="G18" s="26"/>
      <c r="H18" s="9"/>
      <c r="I18" s="27"/>
      <c r="J18" s="9"/>
      <c r="K18" s="14"/>
    </row>
    <row r="19" spans="2:27" ht="15" thickTop="1" x14ac:dyDescent="0.35">
      <c r="B19" s="88"/>
      <c r="C19" s="58">
        <v>1</v>
      </c>
      <c r="D19" s="15" t="s">
        <v>0</v>
      </c>
      <c r="E19" s="63">
        <v>1379670</v>
      </c>
      <c r="F19" s="64" t="s">
        <v>96</v>
      </c>
      <c r="G19" s="28">
        <f>(100/6)/100</f>
        <v>0.16666666666666669</v>
      </c>
      <c r="H19" s="7">
        <f t="shared" ref="H19:I19" si="0">(100/6)/100</f>
        <v>0.16666666666666669</v>
      </c>
      <c r="I19" s="29">
        <f t="shared" si="0"/>
        <v>0.16666666666666669</v>
      </c>
      <c r="J19" s="60" t="str">
        <f ca="1">IF(V19&gt;0,"- "&amp;TEXT(V19*100,"0.0")&amp;"%",IF(Z19&gt;0,"+ "&amp;TEXT(Z19*100,"0.0")&amp;"%",""))</f>
        <v/>
      </c>
      <c r="K19" s="16">
        <f ca="1">AA19</f>
        <v>0.85000000000000009</v>
      </c>
      <c r="L19" s="34"/>
      <c r="M19" s="46">
        <f t="shared" ref="M19:M43" si="1">E19</f>
        <v>1379670</v>
      </c>
      <c r="N19" s="50">
        <f t="array" ref="N19">SUM(G19:I19/$G$17:$I$17*$G$16:$I$16)</f>
        <v>0.16666666666666669</v>
      </c>
      <c r="O19" s="50">
        <f>1/$M$49</f>
        <v>0.16666666666666666</v>
      </c>
      <c r="P19" s="4">
        <f>N19/O19</f>
        <v>1.0000000000000002</v>
      </c>
      <c r="Q19" s="4">
        <f>$G$5</f>
        <v>0.85</v>
      </c>
      <c r="R19" s="4">
        <f>Q19*$G$7</f>
        <v>0.51</v>
      </c>
      <c r="S19" s="4">
        <f>P19*Q19*$G$8</f>
        <v>0.34000000000000008</v>
      </c>
      <c r="T19" s="4">
        <f>SUM(R19:S19)</f>
        <v>0.85000000000000009</v>
      </c>
      <c r="U19" s="4">
        <f>MIN(1,T19)</f>
        <v>0.85000000000000009</v>
      </c>
      <c r="V19" s="4">
        <f>T19-U19</f>
        <v>0</v>
      </c>
      <c r="W19" s="4">
        <f>1-U19</f>
        <v>0.14999999999999991</v>
      </c>
      <c r="X19" s="4">
        <f ca="1">W19/$W$44</f>
        <v>0.16666666666666666</v>
      </c>
      <c r="Y19" s="4">
        <f ca="1">X19*$V$44</f>
        <v>0</v>
      </c>
      <c r="Z19" s="4">
        <f ca="1">Y19*$G$10</f>
        <v>0</v>
      </c>
      <c r="AA19" s="4">
        <f ca="1">U19+Z19</f>
        <v>0.85000000000000009</v>
      </c>
    </row>
    <row r="20" spans="2:27" x14ac:dyDescent="0.35">
      <c r="B20" s="88"/>
      <c r="C20" s="58">
        <v>2</v>
      </c>
      <c r="D20" s="17" t="s">
        <v>1</v>
      </c>
      <c r="E20" s="65">
        <v>1746047</v>
      </c>
      <c r="F20" s="66" t="s">
        <v>97</v>
      </c>
      <c r="G20" s="30">
        <f t="shared" ref="G20:I24" si="2">(100/6)/100</f>
        <v>0.16666666666666669</v>
      </c>
      <c r="H20" s="8">
        <f t="shared" si="2"/>
        <v>0.16666666666666669</v>
      </c>
      <c r="I20" s="31">
        <f t="shared" si="2"/>
        <v>0.16666666666666669</v>
      </c>
      <c r="J20" s="61" t="str">
        <f t="shared" ref="J20:J43" ca="1" si="3">IF(V20&gt;0,"- "&amp;TEXT(V20*100,"0.0")&amp;"%",IF(Z20&gt;0,"+ "&amp;TEXT(Z20*100,"0.0")&amp;"%",""))</f>
        <v/>
      </c>
      <c r="K20" s="18">
        <f t="shared" ref="K20:K43" ca="1" si="4">AA20</f>
        <v>0.85000000000000009</v>
      </c>
      <c r="L20" s="34"/>
      <c r="M20" s="46">
        <f t="shared" si="1"/>
        <v>1746047</v>
      </c>
      <c r="N20" s="50">
        <f t="array" ref="N20">SUM(G20:I20/$G$17:$I$17*$G$16:$I$16)</f>
        <v>0.16666666666666669</v>
      </c>
      <c r="O20" s="50">
        <f>1/$M$49</f>
        <v>0.16666666666666666</v>
      </c>
      <c r="P20" s="4">
        <f>N20/O20</f>
        <v>1.0000000000000002</v>
      </c>
      <c r="Q20" s="4">
        <f>$G$5</f>
        <v>0.85</v>
      </c>
      <c r="R20" s="4">
        <f>Q20*$G$7</f>
        <v>0.51</v>
      </c>
      <c r="S20" s="4">
        <f>P20*Q20*$G$8</f>
        <v>0.34000000000000008</v>
      </c>
      <c r="T20" s="4">
        <f t="shared" ref="T20:T22" si="5">SUM(R20:S20)</f>
        <v>0.85000000000000009</v>
      </c>
      <c r="U20" s="4">
        <f>MIN(1,T20)</f>
        <v>0.85000000000000009</v>
      </c>
      <c r="V20" s="4">
        <f t="shared" ref="V20:V22" si="6">T20-U20</f>
        <v>0</v>
      </c>
      <c r="W20" s="4">
        <f>1-U20</f>
        <v>0.14999999999999991</v>
      </c>
      <c r="X20" s="4">
        <f ca="1">W20/$W$44</f>
        <v>0.16666666666666666</v>
      </c>
      <c r="Y20" s="4">
        <f ca="1">X20*$V$44</f>
        <v>0</v>
      </c>
      <c r="Z20" s="4">
        <f t="shared" ref="Z20:Z22" ca="1" si="7">Y20*$G$10</f>
        <v>0</v>
      </c>
      <c r="AA20" s="4">
        <f ca="1">U20+Z20</f>
        <v>0.85000000000000009</v>
      </c>
    </row>
    <row r="21" spans="2:27" x14ac:dyDescent="0.35">
      <c r="B21" s="88"/>
      <c r="C21" s="58">
        <v>3</v>
      </c>
      <c r="D21" s="17" t="s">
        <v>2</v>
      </c>
      <c r="E21" s="65">
        <v>869558</v>
      </c>
      <c r="F21" s="66" t="s">
        <v>98</v>
      </c>
      <c r="G21" s="30">
        <f t="shared" si="2"/>
        <v>0.16666666666666669</v>
      </c>
      <c r="H21" s="8">
        <f t="shared" si="2"/>
        <v>0.16666666666666669</v>
      </c>
      <c r="I21" s="31">
        <f t="shared" si="2"/>
        <v>0.16666666666666669</v>
      </c>
      <c r="J21" s="61" t="str">
        <f t="shared" ca="1" si="3"/>
        <v/>
      </c>
      <c r="K21" s="18">
        <f t="shared" ca="1" si="4"/>
        <v>0.85000000000000009</v>
      </c>
      <c r="L21" s="34"/>
      <c r="M21" s="46">
        <f t="shared" si="1"/>
        <v>869558</v>
      </c>
      <c r="N21" s="50">
        <f t="array" ref="N21">SUM(G21:I21/$G$17:$I$17*$G$16:$I$16)</f>
        <v>0.16666666666666669</v>
      </c>
      <c r="O21" s="50">
        <f>1/$M$49</f>
        <v>0.16666666666666666</v>
      </c>
      <c r="P21" s="4">
        <f>N21/O21</f>
        <v>1.0000000000000002</v>
      </c>
      <c r="Q21" s="4">
        <f>$G$5</f>
        <v>0.85</v>
      </c>
      <c r="R21" s="4">
        <f>Q21*$G$7</f>
        <v>0.51</v>
      </c>
      <c r="S21" s="4">
        <f>P21*Q21*$G$8</f>
        <v>0.34000000000000008</v>
      </c>
      <c r="T21" s="4">
        <f t="shared" si="5"/>
        <v>0.85000000000000009</v>
      </c>
      <c r="U21" s="4">
        <f>MIN(1,T21)</f>
        <v>0.85000000000000009</v>
      </c>
      <c r="V21" s="4">
        <f t="shared" si="6"/>
        <v>0</v>
      </c>
      <c r="W21" s="4">
        <f>1-U21</f>
        <v>0.14999999999999991</v>
      </c>
      <c r="X21" s="4">
        <f ca="1">W21/$W$44</f>
        <v>0.16666666666666666</v>
      </c>
      <c r="Y21" s="4">
        <f ca="1">X21*$V$44</f>
        <v>0</v>
      </c>
      <c r="Z21" s="4">
        <f t="shared" ca="1" si="7"/>
        <v>0</v>
      </c>
      <c r="AA21" s="4">
        <f ca="1">U21+Z21</f>
        <v>0.85000000000000009</v>
      </c>
    </row>
    <row r="22" spans="2:27" x14ac:dyDescent="0.35">
      <c r="B22" s="88"/>
      <c r="C22" s="58">
        <v>4</v>
      </c>
      <c r="D22" s="17" t="s">
        <v>3</v>
      </c>
      <c r="E22" s="65">
        <v>2290619</v>
      </c>
      <c r="F22" s="66" t="s">
        <v>99</v>
      </c>
      <c r="G22" s="30">
        <f t="shared" si="2"/>
        <v>0.16666666666666669</v>
      </c>
      <c r="H22" s="8">
        <f t="shared" si="2"/>
        <v>0.16666666666666669</v>
      </c>
      <c r="I22" s="31">
        <f t="shared" si="2"/>
        <v>0.16666666666666669</v>
      </c>
      <c r="J22" s="61" t="str">
        <f t="shared" ca="1" si="3"/>
        <v/>
      </c>
      <c r="K22" s="18">
        <f t="shared" ca="1" si="4"/>
        <v>0.85000000000000009</v>
      </c>
      <c r="L22" s="34"/>
      <c r="M22" s="46">
        <f t="shared" si="1"/>
        <v>2290619</v>
      </c>
      <c r="N22" s="50">
        <f t="array" ref="N22">SUM(G22:I22/$G$17:$I$17*$G$16:$I$16)</f>
        <v>0.16666666666666669</v>
      </c>
      <c r="O22" s="50">
        <f>1/$M$49</f>
        <v>0.16666666666666666</v>
      </c>
      <c r="P22" s="4">
        <f>N22/O22</f>
        <v>1.0000000000000002</v>
      </c>
      <c r="Q22" s="4">
        <f>$G$5</f>
        <v>0.85</v>
      </c>
      <c r="R22" s="4">
        <f>Q22*$G$7</f>
        <v>0.51</v>
      </c>
      <c r="S22" s="4">
        <f>P22*Q22*$G$8</f>
        <v>0.34000000000000008</v>
      </c>
      <c r="T22" s="4">
        <f t="shared" si="5"/>
        <v>0.85000000000000009</v>
      </c>
      <c r="U22" s="4">
        <f>MIN(1,T22)</f>
        <v>0.85000000000000009</v>
      </c>
      <c r="V22" s="4">
        <f t="shared" si="6"/>
        <v>0</v>
      </c>
      <c r="W22" s="4">
        <f>1-U22</f>
        <v>0.14999999999999991</v>
      </c>
      <c r="X22" s="4">
        <f ca="1">W22/$W$44</f>
        <v>0.16666666666666666</v>
      </c>
      <c r="Y22" s="4">
        <f ca="1">X22*$V$44</f>
        <v>0</v>
      </c>
      <c r="Z22" s="4">
        <f t="shared" ca="1" si="7"/>
        <v>0</v>
      </c>
      <c r="AA22" s="4">
        <f ca="1">U22+Z22</f>
        <v>0.85000000000000009</v>
      </c>
    </row>
    <row r="23" spans="2:27" s="67" customFormat="1" x14ac:dyDescent="0.35">
      <c r="B23" s="88"/>
      <c r="C23" s="58">
        <v>5</v>
      </c>
      <c r="D23" s="17" t="s">
        <v>54</v>
      </c>
      <c r="E23" s="65"/>
      <c r="F23" s="66" t="s">
        <v>100</v>
      </c>
      <c r="G23" s="30">
        <f t="shared" si="2"/>
        <v>0.16666666666666669</v>
      </c>
      <c r="H23" s="8">
        <f t="shared" si="2"/>
        <v>0.16666666666666669</v>
      </c>
      <c r="I23" s="31">
        <f t="shared" si="2"/>
        <v>0.16666666666666669</v>
      </c>
      <c r="J23" s="77" t="str">
        <f t="shared" ca="1" si="3"/>
        <v/>
      </c>
      <c r="K23" s="78">
        <f t="shared" ca="1" si="4"/>
        <v>0.85000000000000009</v>
      </c>
      <c r="L23" s="34"/>
      <c r="M23" s="46">
        <f t="shared" si="1"/>
        <v>0</v>
      </c>
      <c r="N23" s="68">
        <f t="array" ref="N23">SUM(G23:I23/$G$17:$I$17*$G$16:$I$16)</f>
        <v>0.16666666666666669</v>
      </c>
      <c r="O23" s="68">
        <f t="shared" ref="O23:O43" si="8">1/$M$49</f>
        <v>0.16666666666666666</v>
      </c>
      <c r="P23" s="4">
        <f t="shared" ref="P23:P43" si="9">N23/O23</f>
        <v>1.0000000000000002</v>
      </c>
      <c r="Q23" s="4">
        <f t="shared" ref="Q23:Q43" si="10">$G$5</f>
        <v>0.85</v>
      </c>
      <c r="R23" s="4">
        <f t="shared" ref="R23:R43" si="11">Q23*$G$7</f>
        <v>0.51</v>
      </c>
      <c r="S23" s="4">
        <f t="shared" ref="S23:S43" si="12">P23*Q23*$G$8</f>
        <v>0.34000000000000008</v>
      </c>
      <c r="T23" s="4">
        <f t="shared" ref="T23:T43" si="13">SUM(R23:S23)</f>
        <v>0.85000000000000009</v>
      </c>
      <c r="U23" s="4">
        <f t="shared" ref="U23:U43" si="14">MIN(1,T23)</f>
        <v>0.85000000000000009</v>
      </c>
      <c r="V23" s="4">
        <f t="shared" ref="V23:V43" si="15">T23-U23</f>
        <v>0</v>
      </c>
      <c r="W23" s="4">
        <f t="shared" ref="W23:W43" si="16">1-U23</f>
        <v>0.14999999999999991</v>
      </c>
      <c r="X23" s="4">
        <f t="shared" ref="X23:X43" ca="1" si="17">W23/$W$44</f>
        <v>0.16666666666666666</v>
      </c>
      <c r="Y23" s="4">
        <f t="shared" ref="Y23:Y43" ca="1" si="18">X23*$V$44</f>
        <v>0</v>
      </c>
      <c r="Z23" s="4">
        <f t="shared" ref="Z23:Z43" ca="1" si="19">Y23*$G$10</f>
        <v>0</v>
      </c>
      <c r="AA23" s="4">
        <f t="shared" ref="AA23:AA43" ca="1" si="20">U23+Z23</f>
        <v>0.85000000000000009</v>
      </c>
    </row>
    <row r="24" spans="2:27" s="67" customFormat="1" x14ac:dyDescent="0.35">
      <c r="B24" s="88"/>
      <c r="C24" s="58">
        <v>6</v>
      </c>
      <c r="D24" s="17" t="s">
        <v>55</v>
      </c>
      <c r="E24" s="65">
        <v>2363434</v>
      </c>
      <c r="F24" s="66" t="s">
        <v>101</v>
      </c>
      <c r="G24" s="30">
        <f t="shared" si="2"/>
        <v>0.16666666666666669</v>
      </c>
      <c r="H24" s="8">
        <f t="shared" si="2"/>
        <v>0.16666666666666669</v>
      </c>
      <c r="I24" s="31">
        <f t="shared" si="2"/>
        <v>0.16666666666666669</v>
      </c>
      <c r="J24" s="77" t="str">
        <f t="shared" ca="1" si="3"/>
        <v/>
      </c>
      <c r="K24" s="78">
        <f t="shared" ca="1" si="4"/>
        <v>0.85000000000000009</v>
      </c>
      <c r="L24" s="34"/>
      <c r="M24" s="46">
        <f t="shared" si="1"/>
        <v>2363434</v>
      </c>
      <c r="N24" s="68">
        <f t="array" ref="N24">SUM(G24:I24/$G$17:$I$17*$G$16:$I$16)</f>
        <v>0.16666666666666669</v>
      </c>
      <c r="O24" s="68">
        <f t="shared" si="8"/>
        <v>0.16666666666666666</v>
      </c>
      <c r="P24" s="4">
        <f t="shared" si="9"/>
        <v>1.0000000000000002</v>
      </c>
      <c r="Q24" s="4">
        <f t="shared" si="10"/>
        <v>0.85</v>
      </c>
      <c r="R24" s="4">
        <f t="shared" si="11"/>
        <v>0.51</v>
      </c>
      <c r="S24" s="4">
        <f t="shared" si="12"/>
        <v>0.34000000000000008</v>
      </c>
      <c r="T24" s="4">
        <f t="shared" si="13"/>
        <v>0.85000000000000009</v>
      </c>
      <c r="U24" s="4">
        <f t="shared" si="14"/>
        <v>0.85000000000000009</v>
      </c>
      <c r="V24" s="4">
        <f t="shared" si="15"/>
        <v>0</v>
      </c>
      <c r="W24" s="4">
        <f t="shared" si="16"/>
        <v>0.14999999999999991</v>
      </c>
      <c r="X24" s="4">
        <f t="shared" ca="1" si="17"/>
        <v>0.16666666666666666</v>
      </c>
      <c r="Y24" s="4">
        <f t="shared" ca="1" si="18"/>
        <v>0</v>
      </c>
      <c r="Z24" s="4">
        <f t="shared" ca="1" si="19"/>
        <v>0</v>
      </c>
      <c r="AA24" s="4">
        <f t="shared" ca="1" si="20"/>
        <v>0.85000000000000009</v>
      </c>
    </row>
    <row r="25" spans="2:27" s="67" customFormat="1" x14ac:dyDescent="0.35">
      <c r="B25" s="88"/>
      <c r="C25" s="58">
        <v>7</v>
      </c>
      <c r="D25" s="17" t="s">
        <v>56</v>
      </c>
      <c r="E25" s="65"/>
      <c r="F25" s="66"/>
      <c r="G25" s="30"/>
      <c r="H25" s="8"/>
      <c r="I25" s="31"/>
      <c r="J25" s="77" t="str">
        <f t="shared" ca="1" si="3"/>
        <v/>
      </c>
      <c r="K25" s="78">
        <f t="shared" ca="1" si="4"/>
        <v>0.51</v>
      </c>
      <c r="L25" s="34"/>
      <c r="M25" s="46">
        <f t="shared" si="1"/>
        <v>0</v>
      </c>
      <c r="N25" s="68">
        <f t="array" ref="N25">SUM(G25:I25/$G$17:$I$17*$G$16:$I$16)</f>
        <v>0</v>
      </c>
      <c r="O25" s="68">
        <f t="shared" si="8"/>
        <v>0.16666666666666666</v>
      </c>
      <c r="P25" s="4">
        <f t="shared" si="9"/>
        <v>0</v>
      </c>
      <c r="Q25" s="4">
        <f t="shared" si="10"/>
        <v>0.85</v>
      </c>
      <c r="R25" s="4">
        <f t="shared" si="11"/>
        <v>0.51</v>
      </c>
      <c r="S25" s="4">
        <f t="shared" si="12"/>
        <v>0</v>
      </c>
      <c r="T25" s="4">
        <f t="shared" si="13"/>
        <v>0.51</v>
      </c>
      <c r="U25" s="4">
        <f t="shared" si="14"/>
        <v>0.51</v>
      </c>
      <c r="V25" s="4">
        <f t="shared" si="15"/>
        <v>0</v>
      </c>
      <c r="W25" s="4">
        <f t="shared" si="16"/>
        <v>0.49</v>
      </c>
      <c r="X25" s="4">
        <f t="shared" ca="1" si="17"/>
        <v>0.54444444444444473</v>
      </c>
      <c r="Y25" s="4">
        <f t="shared" ca="1" si="18"/>
        <v>0</v>
      </c>
      <c r="Z25" s="4">
        <f t="shared" ca="1" si="19"/>
        <v>0</v>
      </c>
      <c r="AA25" s="4">
        <f t="shared" ca="1" si="20"/>
        <v>0.51</v>
      </c>
    </row>
    <row r="26" spans="2:27" s="67" customFormat="1" x14ac:dyDescent="0.35">
      <c r="B26" s="88"/>
      <c r="C26" s="58">
        <v>8</v>
      </c>
      <c r="D26" s="17" t="s">
        <v>57</v>
      </c>
      <c r="E26" s="65"/>
      <c r="F26" s="66"/>
      <c r="G26" s="30"/>
      <c r="H26" s="8"/>
      <c r="I26" s="31"/>
      <c r="J26" s="77" t="str">
        <f t="shared" ca="1" si="3"/>
        <v/>
      </c>
      <c r="K26" s="78">
        <f t="shared" ca="1" si="4"/>
        <v>0.51</v>
      </c>
      <c r="L26" s="34"/>
      <c r="M26" s="46">
        <f t="shared" si="1"/>
        <v>0</v>
      </c>
      <c r="N26" s="68">
        <f t="array" ref="N26">SUM(G26:I26/$G$17:$I$17*$G$16:$I$16)</f>
        <v>0</v>
      </c>
      <c r="O26" s="68">
        <f t="shared" si="8"/>
        <v>0.16666666666666666</v>
      </c>
      <c r="P26" s="4">
        <f t="shared" si="9"/>
        <v>0</v>
      </c>
      <c r="Q26" s="4">
        <f t="shared" si="10"/>
        <v>0.85</v>
      </c>
      <c r="R26" s="4">
        <f t="shared" si="11"/>
        <v>0.51</v>
      </c>
      <c r="S26" s="4">
        <f t="shared" si="12"/>
        <v>0</v>
      </c>
      <c r="T26" s="4">
        <f t="shared" si="13"/>
        <v>0.51</v>
      </c>
      <c r="U26" s="4">
        <f t="shared" si="14"/>
        <v>0.51</v>
      </c>
      <c r="V26" s="4">
        <f t="shared" si="15"/>
        <v>0</v>
      </c>
      <c r="W26" s="4">
        <f t="shared" si="16"/>
        <v>0.49</v>
      </c>
      <c r="X26" s="4">
        <f t="shared" ca="1" si="17"/>
        <v>0.54444444444444473</v>
      </c>
      <c r="Y26" s="4">
        <f t="shared" ca="1" si="18"/>
        <v>0</v>
      </c>
      <c r="Z26" s="4">
        <f t="shared" ca="1" si="19"/>
        <v>0</v>
      </c>
      <c r="AA26" s="4">
        <f t="shared" ca="1" si="20"/>
        <v>0.51</v>
      </c>
    </row>
    <row r="27" spans="2:27" s="67" customFormat="1" x14ac:dyDescent="0.35">
      <c r="B27" s="88"/>
      <c r="C27" s="58">
        <v>9</v>
      </c>
      <c r="D27" s="17" t="s">
        <v>58</v>
      </c>
      <c r="E27" s="65"/>
      <c r="F27" s="66"/>
      <c r="G27" s="30"/>
      <c r="H27" s="8"/>
      <c r="I27" s="31"/>
      <c r="J27" s="77" t="str">
        <f t="shared" ca="1" si="3"/>
        <v/>
      </c>
      <c r="K27" s="78">
        <f t="shared" ca="1" si="4"/>
        <v>0.51</v>
      </c>
      <c r="L27" s="34"/>
      <c r="M27" s="46">
        <f t="shared" si="1"/>
        <v>0</v>
      </c>
      <c r="N27" s="68">
        <f t="array" ref="N27">SUM(G27:I27/$G$17:$I$17*$G$16:$I$16)</f>
        <v>0</v>
      </c>
      <c r="O27" s="68">
        <f t="shared" si="8"/>
        <v>0.16666666666666666</v>
      </c>
      <c r="P27" s="4">
        <f t="shared" si="9"/>
        <v>0</v>
      </c>
      <c r="Q27" s="4">
        <f t="shared" si="10"/>
        <v>0.85</v>
      </c>
      <c r="R27" s="4">
        <f t="shared" si="11"/>
        <v>0.51</v>
      </c>
      <c r="S27" s="4">
        <f t="shared" si="12"/>
        <v>0</v>
      </c>
      <c r="T27" s="4">
        <f t="shared" si="13"/>
        <v>0.51</v>
      </c>
      <c r="U27" s="4">
        <f t="shared" si="14"/>
        <v>0.51</v>
      </c>
      <c r="V27" s="4">
        <f t="shared" si="15"/>
        <v>0</v>
      </c>
      <c r="W27" s="4">
        <f t="shared" si="16"/>
        <v>0.49</v>
      </c>
      <c r="X27" s="4">
        <f t="shared" ca="1" si="17"/>
        <v>0.54444444444444473</v>
      </c>
      <c r="Y27" s="4">
        <f t="shared" ca="1" si="18"/>
        <v>0</v>
      </c>
      <c r="Z27" s="4">
        <f t="shared" ca="1" si="19"/>
        <v>0</v>
      </c>
      <c r="AA27" s="4">
        <f t="shared" ca="1" si="20"/>
        <v>0.51</v>
      </c>
    </row>
    <row r="28" spans="2:27" s="67" customFormat="1" x14ac:dyDescent="0.35">
      <c r="B28" s="88"/>
      <c r="C28" s="58">
        <v>10</v>
      </c>
      <c r="D28" s="17" t="s">
        <v>59</v>
      </c>
      <c r="E28" s="65"/>
      <c r="F28" s="66"/>
      <c r="G28" s="30"/>
      <c r="H28" s="8"/>
      <c r="I28" s="31"/>
      <c r="J28" s="77" t="str">
        <f t="shared" ca="1" si="3"/>
        <v/>
      </c>
      <c r="K28" s="78">
        <f t="shared" ca="1" si="4"/>
        <v>0.51</v>
      </c>
      <c r="L28" s="34"/>
      <c r="M28" s="46">
        <f t="shared" si="1"/>
        <v>0</v>
      </c>
      <c r="N28" s="68">
        <f t="array" ref="N28">SUM(G28:I28/$G$17:$I$17*$G$16:$I$16)</f>
        <v>0</v>
      </c>
      <c r="O28" s="68">
        <f t="shared" si="8"/>
        <v>0.16666666666666666</v>
      </c>
      <c r="P28" s="4">
        <f t="shared" si="9"/>
        <v>0</v>
      </c>
      <c r="Q28" s="4">
        <f t="shared" si="10"/>
        <v>0.85</v>
      </c>
      <c r="R28" s="4">
        <f t="shared" si="11"/>
        <v>0.51</v>
      </c>
      <c r="S28" s="4">
        <f t="shared" si="12"/>
        <v>0</v>
      </c>
      <c r="T28" s="4">
        <f t="shared" si="13"/>
        <v>0.51</v>
      </c>
      <c r="U28" s="4">
        <f t="shared" si="14"/>
        <v>0.51</v>
      </c>
      <c r="V28" s="4">
        <f t="shared" si="15"/>
        <v>0</v>
      </c>
      <c r="W28" s="4">
        <f t="shared" si="16"/>
        <v>0.49</v>
      </c>
      <c r="X28" s="4">
        <f t="shared" ca="1" si="17"/>
        <v>0.54444444444444473</v>
      </c>
      <c r="Y28" s="4">
        <f t="shared" ca="1" si="18"/>
        <v>0</v>
      </c>
      <c r="Z28" s="4">
        <f t="shared" ca="1" si="19"/>
        <v>0</v>
      </c>
      <c r="AA28" s="4">
        <f t="shared" ca="1" si="20"/>
        <v>0.51</v>
      </c>
    </row>
    <row r="29" spans="2:27" s="67" customFormat="1" x14ac:dyDescent="0.35">
      <c r="B29" s="88"/>
      <c r="C29" s="58">
        <v>11</v>
      </c>
      <c r="D29" s="17" t="s">
        <v>60</v>
      </c>
      <c r="E29" s="65"/>
      <c r="F29" s="66"/>
      <c r="G29" s="30"/>
      <c r="H29" s="8"/>
      <c r="I29" s="31"/>
      <c r="J29" s="77" t="str">
        <f t="shared" ca="1" si="3"/>
        <v/>
      </c>
      <c r="K29" s="78">
        <f t="shared" ca="1" si="4"/>
        <v>0.51</v>
      </c>
      <c r="L29" s="34"/>
      <c r="M29" s="46">
        <f t="shared" si="1"/>
        <v>0</v>
      </c>
      <c r="N29" s="68">
        <f t="array" ref="N29">SUM(G29:I29/$G$17:$I$17*$G$16:$I$16)</f>
        <v>0</v>
      </c>
      <c r="O29" s="68">
        <f t="shared" si="8"/>
        <v>0.16666666666666666</v>
      </c>
      <c r="P29" s="4">
        <f t="shared" si="9"/>
        <v>0</v>
      </c>
      <c r="Q29" s="4">
        <f t="shared" si="10"/>
        <v>0.85</v>
      </c>
      <c r="R29" s="4">
        <f t="shared" si="11"/>
        <v>0.51</v>
      </c>
      <c r="S29" s="4">
        <f t="shared" si="12"/>
        <v>0</v>
      </c>
      <c r="T29" s="4">
        <f t="shared" si="13"/>
        <v>0.51</v>
      </c>
      <c r="U29" s="4">
        <f t="shared" si="14"/>
        <v>0.51</v>
      </c>
      <c r="V29" s="4">
        <f t="shared" si="15"/>
        <v>0</v>
      </c>
      <c r="W29" s="4">
        <f t="shared" si="16"/>
        <v>0.49</v>
      </c>
      <c r="X29" s="4">
        <f t="shared" ca="1" si="17"/>
        <v>0.54444444444444473</v>
      </c>
      <c r="Y29" s="4">
        <f t="shared" ca="1" si="18"/>
        <v>0</v>
      </c>
      <c r="Z29" s="4">
        <f t="shared" ca="1" si="19"/>
        <v>0</v>
      </c>
      <c r="AA29" s="4">
        <f t="shared" ca="1" si="20"/>
        <v>0.51</v>
      </c>
    </row>
    <row r="30" spans="2:27" s="67" customFormat="1" x14ac:dyDescent="0.35">
      <c r="B30" s="88"/>
      <c r="C30" s="58">
        <v>12</v>
      </c>
      <c r="D30" s="17" t="s">
        <v>61</v>
      </c>
      <c r="E30" s="65"/>
      <c r="F30" s="66"/>
      <c r="G30" s="30"/>
      <c r="H30" s="8"/>
      <c r="I30" s="31"/>
      <c r="J30" s="77" t="str">
        <f t="shared" ca="1" si="3"/>
        <v/>
      </c>
      <c r="K30" s="78">
        <f t="shared" ca="1" si="4"/>
        <v>0.51</v>
      </c>
      <c r="L30" s="34"/>
      <c r="M30" s="46">
        <f t="shared" si="1"/>
        <v>0</v>
      </c>
      <c r="N30" s="68">
        <f t="array" ref="N30">SUM(G30:I30/$G$17:$I$17*$G$16:$I$16)</f>
        <v>0</v>
      </c>
      <c r="O30" s="68">
        <f t="shared" si="8"/>
        <v>0.16666666666666666</v>
      </c>
      <c r="P30" s="4">
        <f t="shared" si="9"/>
        <v>0</v>
      </c>
      <c r="Q30" s="4">
        <f t="shared" si="10"/>
        <v>0.85</v>
      </c>
      <c r="R30" s="4">
        <f t="shared" si="11"/>
        <v>0.51</v>
      </c>
      <c r="S30" s="4">
        <f t="shared" si="12"/>
        <v>0</v>
      </c>
      <c r="T30" s="4">
        <f t="shared" si="13"/>
        <v>0.51</v>
      </c>
      <c r="U30" s="4">
        <f t="shared" si="14"/>
        <v>0.51</v>
      </c>
      <c r="V30" s="4">
        <f t="shared" si="15"/>
        <v>0</v>
      </c>
      <c r="W30" s="4">
        <f t="shared" si="16"/>
        <v>0.49</v>
      </c>
      <c r="X30" s="4">
        <f t="shared" ca="1" si="17"/>
        <v>0.54444444444444473</v>
      </c>
      <c r="Y30" s="4">
        <f t="shared" ca="1" si="18"/>
        <v>0</v>
      </c>
      <c r="Z30" s="4">
        <f t="shared" ca="1" si="19"/>
        <v>0</v>
      </c>
      <c r="AA30" s="4">
        <f t="shared" ca="1" si="20"/>
        <v>0.51</v>
      </c>
    </row>
    <row r="31" spans="2:27" s="67" customFormat="1" x14ac:dyDescent="0.35">
      <c r="B31" s="88"/>
      <c r="C31" s="58">
        <v>13</v>
      </c>
      <c r="D31" s="17" t="s">
        <v>62</v>
      </c>
      <c r="E31" s="65"/>
      <c r="F31" s="66"/>
      <c r="G31" s="30"/>
      <c r="H31" s="8"/>
      <c r="I31" s="31"/>
      <c r="J31" s="77" t="str">
        <f t="shared" ca="1" si="3"/>
        <v/>
      </c>
      <c r="K31" s="78">
        <f t="shared" ca="1" si="4"/>
        <v>0.51</v>
      </c>
      <c r="L31" s="34"/>
      <c r="M31" s="46">
        <f t="shared" si="1"/>
        <v>0</v>
      </c>
      <c r="N31" s="68">
        <f t="array" ref="N31">SUM(G31:I31/$G$17:$I$17*$G$16:$I$16)</f>
        <v>0</v>
      </c>
      <c r="O31" s="68">
        <f t="shared" si="8"/>
        <v>0.16666666666666666</v>
      </c>
      <c r="P31" s="4">
        <f t="shared" si="9"/>
        <v>0</v>
      </c>
      <c r="Q31" s="4">
        <f t="shared" si="10"/>
        <v>0.85</v>
      </c>
      <c r="R31" s="4">
        <f t="shared" si="11"/>
        <v>0.51</v>
      </c>
      <c r="S31" s="4">
        <f t="shared" si="12"/>
        <v>0</v>
      </c>
      <c r="T31" s="4">
        <f t="shared" si="13"/>
        <v>0.51</v>
      </c>
      <c r="U31" s="4">
        <f t="shared" si="14"/>
        <v>0.51</v>
      </c>
      <c r="V31" s="4">
        <f t="shared" si="15"/>
        <v>0</v>
      </c>
      <c r="W31" s="4">
        <f t="shared" si="16"/>
        <v>0.49</v>
      </c>
      <c r="X31" s="4">
        <f t="shared" ca="1" si="17"/>
        <v>0.54444444444444473</v>
      </c>
      <c r="Y31" s="4">
        <f t="shared" ca="1" si="18"/>
        <v>0</v>
      </c>
      <c r="Z31" s="4">
        <f t="shared" ca="1" si="19"/>
        <v>0</v>
      </c>
      <c r="AA31" s="4">
        <f t="shared" ca="1" si="20"/>
        <v>0.51</v>
      </c>
    </row>
    <row r="32" spans="2:27" s="67" customFormat="1" x14ac:dyDescent="0.35">
      <c r="B32" s="88"/>
      <c r="C32" s="58">
        <v>14</v>
      </c>
      <c r="D32" s="17" t="s">
        <v>63</v>
      </c>
      <c r="E32" s="65"/>
      <c r="F32" s="66"/>
      <c r="G32" s="30"/>
      <c r="H32" s="8"/>
      <c r="I32" s="31"/>
      <c r="J32" s="77" t="str">
        <f t="shared" ca="1" si="3"/>
        <v/>
      </c>
      <c r="K32" s="78">
        <f t="shared" ca="1" si="4"/>
        <v>0.51</v>
      </c>
      <c r="L32" s="34"/>
      <c r="M32" s="46">
        <f t="shared" si="1"/>
        <v>0</v>
      </c>
      <c r="N32" s="68">
        <f t="array" ref="N32">SUM(G32:I32/$G$17:$I$17*$G$16:$I$16)</f>
        <v>0</v>
      </c>
      <c r="O32" s="68">
        <f t="shared" si="8"/>
        <v>0.16666666666666666</v>
      </c>
      <c r="P32" s="4">
        <f t="shared" si="9"/>
        <v>0</v>
      </c>
      <c r="Q32" s="4">
        <f t="shared" si="10"/>
        <v>0.85</v>
      </c>
      <c r="R32" s="4">
        <f t="shared" si="11"/>
        <v>0.51</v>
      </c>
      <c r="S32" s="4">
        <f t="shared" si="12"/>
        <v>0</v>
      </c>
      <c r="T32" s="4">
        <f t="shared" si="13"/>
        <v>0.51</v>
      </c>
      <c r="U32" s="4">
        <f t="shared" si="14"/>
        <v>0.51</v>
      </c>
      <c r="V32" s="4">
        <f t="shared" si="15"/>
        <v>0</v>
      </c>
      <c r="W32" s="4">
        <f t="shared" si="16"/>
        <v>0.49</v>
      </c>
      <c r="X32" s="4">
        <f t="shared" ca="1" si="17"/>
        <v>0.54444444444444473</v>
      </c>
      <c r="Y32" s="4">
        <f t="shared" ca="1" si="18"/>
        <v>0</v>
      </c>
      <c r="Z32" s="4">
        <f t="shared" ca="1" si="19"/>
        <v>0</v>
      </c>
      <c r="AA32" s="4">
        <f t="shared" ca="1" si="20"/>
        <v>0.51</v>
      </c>
    </row>
    <row r="33" spans="2:27" s="67" customFormat="1" x14ac:dyDescent="0.35">
      <c r="B33" s="88"/>
      <c r="C33" s="58">
        <v>15</v>
      </c>
      <c r="D33" s="17" t="s">
        <v>64</v>
      </c>
      <c r="E33" s="65"/>
      <c r="F33" s="66"/>
      <c r="G33" s="30"/>
      <c r="H33" s="8"/>
      <c r="I33" s="31"/>
      <c r="J33" s="77" t="str">
        <f t="shared" ca="1" si="3"/>
        <v/>
      </c>
      <c r="K33" s="78">
        <f t="shared" ca="1" si="4"/>
        <v>0.51</v>
      </c>
      <c r="L33" s="34"/>
      <c r="M33" s="46">
        <f t="shared" si="1"/>
        <v>0</v>
      </c>
      <c r="N33" s="68">
        <f t="array" ref="N33">SUM(G33:I33/$G$17:$I$17*$G$16:$I$16)</f>
        <v>0</v>
      </c>
      <c r="O33" s="68">
        <f t="shared" si="8"/>
        <v>0.16666666666666666</v>
      </c>
      <c r="P33" s="4">
        <f t="shared" si="9"/>
        <v>0</v>
      </c>
      <c r="Q33" s="4">
        <f t="shared" si="10"/>
        <v>0.85</v>
      </c>
      <c r="R33" s="4">
        <f t="shared" si="11"/>
        <v>0.51</v>
      </c>
      <c r="S33" s="4">
        <f t="shared" si="12"/>
        <v>0</v>
      </c>
      <c r="T33" s="4">
        <f t="shared" si="13"/>
        <v>0.51</v>
      </c>
      <c r="U33" s="4">
        <f t="shared" si="14"/>
        <v>0.51</v>
      </c>
      <c r="V33" s="4">
        <f t="shared" si="15"/>
        <v>0</v>
      </c>
      <c r="W33" s="4">
        <f t="shared" si="16"/>
        <v>0.49</v>
      </c>
      <c r="X33" s="4">
        <f t="shared" ca="1" si="17"/>
        <v>0.54444444444444473</v>
      </c>
      <c r="Y33" s="4">
        <f t="shared" ca="1" si="18"/>
        <v>0</v>
      </c>
      <c r="Z33" s="4">
        <f t="shared" ca="1" si="19"/>
        <v>0</v>
      </c>
      <c r="AA33" s="4">
        <f t="shared" ca="1" si="20"/>
        <v>0.51</v>
      </c>
    </row>
    <row r="34" spans="2:27" s="67" customFormat="1" x14ac:dyDescent="0.35">
      <c r="B34" s="88"/>
      <c r="C34" s="58">
        <v>16</v>
      </c>
      <c r="D34" s="17" t="s">
        <v>65</v>
      </c>
      <c r="E34" s="65"/>
      <c r="F34" s="66"/>
      <c r="G34" s="30"/>
      <c r="H34" s="8"/>
      <c r="I34" s="31"/>
      <c r="J34" s="77" t="str">
        <f t="shared" ca="1" si="3"/>
        <v/>
      </c>
      <c r="K34" s="78">
        <f t="shared" ca="1" si="4"/>
        <v>0.51</v>
      </c>
      <c r="L34" s="34"/>
      <c r="M34" s="46">
        <f t="shared" si="1"/>
        <v>0</v>
      </c>
      <c r="N34" s="68">
        <f t="array" ref="N34">SUM(G34:I34/$G$17:$I$17*$G$16:$I$16)</f>
        <v>0</v>
      </c>
      <c r="O34" s="68">
        <f t="shared" si="8"/>
        <v>0.16666666666666666</v>
      </c>
      <c r="P34" s="4">
        <f t="shared" si="9"/>
        <v>0</v>
      </c>
      <c r="Q34" s="4">
        <f t="shared" si="10"/>
        <v>0.85</v>
      </c>
      <c r="R34" s="4">
        <f t="shared" si="11"/>
        <v>0.51</v>
      </c>
      <c r="S34" s="4">
        <f t="shared" si="12"/>
        <v>0</v>
      </c>
      <c r="T34" s="4">
        <f t="shared" si="13"/>
        <v>0.51</v>
      </c>
      <c r="U34" s="4">
        <f t="shared" si="14"/>
        <v>0.51</v>
      </c>
      <c r="V34" s="4">
        <f t="shared" si="15"/>
        <v>0</v>
      </c>
      <c r="W34" s="4">
        <f t="shared" si="16"/>
        <v>0.49</v>
      </c>
      <c r="X34" s="4">
        <f t="shared" ca="1" si="17"/>
        <v>0.54444444444444473</v>
      </c>
      <c r="Y34" s="4">
        <f t="shared" ca="1" si="18"/>
        <v>0</v>
      </c>
      <c r="Z34" s="4">
        <f t="shared" ca="1" si="19"/>
        <v>0</v>
      </c>
      <c r="AA34" s="4">
        <f t="shared" ca="1" si="20"/>
        <v>0.51</v>
      </c>
    </row>
    <row r="35" spans="2:27" s="67" customFormat="1" x14ac:dyDescent="0.35">
      <c r="B35" s="88"/>
      <c r="C35" s="58">
        <v>17</v>
      </c>
      <c r="D35" s="17" t="s">
        <v>66</v>
      </c>
      <c r="E35" s="65"/>
      <c r="F35" s="66"/>
      <c r="G35" s="30"/>
      <c r="H35" s="8"/>
      <c r="I35" s="31"/>
      <c r="J35" s="77" t="str">
        <f t="shared" ca="1" si="3"/>
        <v/>
      </c>
      <c r="K35" s="78">
        <f t="shared" ca="1" si="4"/>
        <v>0.51</v>
      </c>
      <c r="L35" s="34"/>
      <c r="M35" s="46">
        <f t="shared" si="1"/>
        <v>0</v>
      </c>
      <c r="N35" s="68">
        <f t="array" ref="N35">SUM(G35:I35/$G$17:$I$17*$G$16:$I$16)</f>
        <v>0</v>
      </c>
      <c r="O35" s="68">
        <f t="shared" si="8"/>
        <v>0.16666666666666666</v>
      </c>
      <c r="P35" s="4">
        <f t="shared" si="9"/>
        <v>0</v>
      </c>
      <c r="Q35" s="4">
        <f t="shared" si="10"/>
        <v>0.85</v>
      </c>
      <c r="R35" s="4">
        <f t="shared" si="11"/>
        <v>0.51</v>
      </c>
      <c r="S35" s="4">
        <f t="shared" si="12"/>
        <v>0</v>
      </c>
      <c r="T35" s="4">
        <f t="shared" si="13"/>
        <v>0.51</v>
      </c>
      <c r="U35" s="4">
        <f t="shared" si="14"/>
        <v>0.51</v>
      </c>
      <c r="V35" s="4">
        <f t="shared" si="15"/>
        <v>0</v>
      </c>
      <c r="W35" s="4">
        <f t="shared" si="16"/>
        <v>0.49</v>
      </c>
      <c r="X35" s="4">
        <f t="shared" ca="1" si="17"/>
        <v>0.54444444444444473</v>
      </c>
      <c r="Y35" s="4">
        <f t="shared" ca="1" si="18"/>
        <v>0</v>
      </c>
      <c r="Z35" s="4">
        <f t="shared" ca="1" si="19"/>
        <v>0</v>
      </c>
      <c r="AA35" s="4">
        <f t="shared" ca="1" si="20"/>
        <v>0.51</v>
      </c>
    </row>
    <row r="36" spans="2:27" s="67" customFormat="1" x14ac:dyDescent="0.35">
      <c r="B36" s="88"/>
      <c r="C36" s="58">
        <v>18</v>
      </c>
      <c r="D36" s="17" t="s">
        <v>67</v>
      </c>
      <c r="E36" s="65"/>
      <c r="F36" s="66"/>
      <c r="G36" s="30"/>
      <c r="H36" s="8"/>
      <c r="I36" s="31"/>
      <c r="J36" s="77" t="str">
        <f t="shared" ca="1" si="3"/>
        <v/>
      </c>
      <c r="K36" s="78">
        <f t="shared" ca="1" si="4"/>
        <v>0.51</v>
      </c>
      <c r="L36" s="34"/>
      <c r="M36" s="46">
        <f t="shared" si="1"/>
        <v>0</v>
      </c>
      <c r="N36" s="68">
        <f t="array" ref="N36">SUM(G36:I36/$G$17:$I$17*$G$16:$I$16)</f>
        <v>0</v>
      </c>
      <c r="O36" s="68">
        <f t="shared" si="8"/>
        <v>0.16666666666666666</v>
      </c>
      <c r="P36" s="4">
        <f t="shared" si="9"/>
        <v>0</v>
      </c>
      <c r="Q36" s="4">
        <f t="shared" si="10"/>
        <v>0.85</v>
      </c>
      <c r="R36" s="4">
        <f t="shared" si="11"/>
        <v>0.51</v>
      </c>
      <c r="S36" s="4">
        <f t="shared" si="12"/>
        <v>0</v>
      </c>
      <c r="T36" s="4">
        <f t="shared" si="13"/>
        <v>0.51</v>
      </c>
      <c r="U36" s="4">
        <f t="shared" si="14"/>
        <v>0.51</v>
      </c>
      <c r="V36" s="4">
        <f t="shared" si="15"/>
        <v>0</v>
      </c>
      <c r="W36" s="4">
        <f t="shared" si="16"/>
        <v>0.49</v>
      </c>
      <c r="X36" s="4">
        <f t="shared" ca="1" si="17"/>
        <v>0.54444444444444473</v>
      </c>
      <c r="Y36" s="4">
        <f t="shared" ca="1" si="18"/>
        <v>0</v>
      </c>
      <c r="Z36" s="4">
        <f t="shared" ca="1" si="19"/>
        <v>0</v>
      </c>
      <c r="AA36" s="4">
        <f t="shared" ca="1" si="20"/>
        <v>0.51</v>
      </c>
    </row>
    <row r="37" spans="2:27" s="67" customFormat="1" x14ac:dyDescent="0.35">
      <c r="B37" s="88"/>
      <c r="C37" s="58">
        <v>19</v>
      </c>
      <c r="D37" s="17" t="s">
        <v>68</v>
      </c>
      <c r="E37" s="65"/>
      <c r="F37" s="66"/>
      <c r="G37" s="30"/>
      <c r="H37" s="8"/>
      <c r="I37" s="31"/>
      <c r="J37" s="77" t="str">
        <f t="shared" ca="1" si="3"/>
        <v/>
      </c>
      <c r="K37" s="78">
        <f t="shared" ca="1" si="4"/>
        <v>0.51</v>
      </c>
      <c r="L37" s="34"/>
      <c r="M37" s="46">
        <f t="shared" si="1"/>
        <v>0</v>
      </c>
      <c r="N37" s="68">
        <f t="array" ref="N37">SUM(G37:I37/$G$17:$I$17*$G$16:$I$16)</f>
        <v>0</v>
      </c>
      <c r="O37" s="68">
        <f t="shared" si="8"/>
        <v>0.16666666666666666</v>
      </c>
      <c r="P37" s="4">
        <f t="shared" si="9"/>
        <v>0</v>
      </c>
      <c r="Q37" s="4">
        <f t="shared" si="10"/>
        <v>0.85</v>
      </c>
      <c r="R37" s="4">
        <f t="shared" si="11"/>
        <v>0.51</v>
      </c>
      <c r="S37" s="4">
        <f t="shared" si="12"/>
        <v>0</v>
      </c>
      <c r="T37" s="4">
        <f t="shared" si="13"/>
        <v>0.51</v>
      </c>
      <c r="U37" s="4">
        <f t="shared" si="14"/>
        <v>0.51</v>
      </c>
      <c r="V37" s="4">
        <f t="shared" si="15"/>
        <v>0</v>
      </c>
      <c r="W37" s="4">
        <f t="shared" si="16"/>
        <v>0.49</v>
      </c>
      <c r="X37" s="4">
        <f t="shared" ca="1" si="17"/>
        <v>0.54444444444444473</v>
      </c>
      <c r="Y37" s="4">
        <f t="shared" ca="1" si="18"/>
        <v>0</v>
      </c>
      <c r="Z37" s="4">
        <f t="shared" ca="1" si="19"/>
        <v>0</v>
      </c>
      <c r="AA37" s="4">
        <f t="shared" ca="1" si="20"/>
        <v>0.51</v>
      </c>
    </row>
    <row r="38" spans="2:27" s="67" customFormat="1" x14ac:dyDescent="0.35">
      <c r="B38" s="88"/>
      <c r="C38" s="58">
        <v>20</v>
      </c>
      <c r="D38" s="17" t="s">
        <v>69</v>
      </c>
      <c r="E38" s="65"/>
      <c r="F38" s="66"/>
      <c r="G38" s="30"/>
      <c r="H38" s="8"/>
      <c r="I38" s="31"/>
      <c r="J38" s="77" t="str">
        <f t="shared" ca="1" si="3"/>
        <v/>
      </c>
      <c r="K38" s="78">
        <f t="shared" ca="1" si="4"/>
        <v>0.51</v>
      </c>
      <c r="L38" s="34"/>
      <c r="M38" s="46">
        <f t="shared" si="1"/>
        <v>0</v>
      </c>
      <c r="N38" s="68">
        <f t="array" ref="N38">SUM(G38:I38/$G$17:$I$17*$G$16:$I$16)</f>
        <v>0</v>
      </c>
      <c r="O38" s="68">
        <f t="shared" si="8"/>
        <v>0.16666666666666666</v>
      </c>
      <c r="P38" s="4">
        <f t="shared" si="9"/>
        <v>0</v>
      </c>
      <c r="Q38" s="4">
        <f t="shared" si="10"/>
        <v>0.85</v>
      </c>
      <c r="R38" s="4">
        <f t="shared" si="11"/>
        <v>0.51</v>
      </c>
      <c r="S38" s="4">
        <f t="shared" si="12"/>
        <v>0</v>
      </c>
      <c r="T38" s="4">
        <f t="shared" si="13"/>
        <v>0.51</v>
      </c>
      <c r="U38" s="4">
        <f t="shared" si="14"/>
        <v>0.51</v>
      </c>
      <c r="V38" s="4">
        <f t="shared" si="15"/>
        <v>0</v>
      </c>
      <c r="W38" s="4">
        <f t="shared" si="16"/>
        <v>0.49</v>
      </c>
      <c r="X38" s="4">
        <f t="shared" ca="1" si="17"/>
        <v>0.54444444444444473</v>
      </c>
      <c r="Y38" s="4">
        <f t="shared" ca="1" si="18"/>
        <v>0</v>
      </c>
      <c r="Z38" s="4">
        <f t="shared" ca="1" si="19"/>
        <v>0</v>
      </c>
      <c r="AA38" s="4">
        <f t="shared" ca="1" si="20"/>
        <v>0.51</v>
      </c>
    </row>
    <row r="39" spans="2:27" s="67" customFormat="1" x14ac:dyDescent="0.35">
      <c r="B39" s="88"/>
      <c r="C39" s="58">
        <v>21</v>
      </c>
      <c r="D39" s="17" t="s">
        <v>70</v>
      </c>
      <c r="E39" s="65"/>
      <c r="F39" s="66"/>
      <c r="G39" s="30"/>
      <c r="H39" s="8"/>
      <c r="I39" s="31"/>
      <c r="J39" s="77" t="str">
        <f t="shared" ca="1" si="3"/>
        <v/>
      </c>
      <c r="K39" s="78">
        <f t="shared" ca="1" si="4"/>
        <v>0.51</v>
      </c>
      <c r="L39" s="34"/>
      <c r="M39" s="46">
        <f t="shared" si="1"/>
        <v>0</v>
      </c>
      <c r="N39" s="68">
        <f t="array" ref="N39">SUM(G39:I39/$G$17:$I$17*$G$16:$I$16)</f>
        <v>0</v>
      </c>
      <c r="O39" s="68">
        <f t="shared" si="8"/>
        <v>0.16666666666666666</v>
      </c>
      <c r="P39" s="4">
        <f t="shared" si="9"/>
        <v>0</v>
      </c>
      <c r="Q39" s="4">
        <f t="shared" si="10"/>
        <v>0.85</v>
      </c>
      <c r="R39" s="4">
        <f t="shared" si="11"/>
        <v>0.51</v>
      </c>
      <c r="S39" s="4">
        <f t="shared" si="12"/>
        <v>0</v>
      </c>
      <c r="T39" s="4">
        <f t="shared" si="13"/>
        <v>0.51</v>
      </c>
      <c r="U39" s="4">
        <f t="shared" si="14"/>
        <v>0.51</v>
      </c>
      <c r="V39" s="4">
        <f t="shared" si="15"/>
        <v>0</v>
      </c>
      <c r="W39" s="4">
        <f t="shared" si="16"/>
        <v>0.49</v>
      </c>
      <c r="X39" s="4">
        <f t="shared" ca="1" si="17"/>
        <v>0.54444444444444473</v>
      </c>
      <c r="Y39" s="4">
        <f t="shared" ca="1" si="18"/>
        <v>0</v>
      </c>
      <c r="Z39" s="4">
        <f t="shared" ca="1" si="19"/>
        <v>0</v>
      </c>
      <c r="AA39" s="4">
        <f t="shared" ca="1" si="20"/>
        <v>0.51</v>
      </c>
    </row>
    <row r="40" spans="2:27" s="67" customFormat="1" x14ac:dyDescent="0.35">
      <c r="B40" s="88"/>
      <c r="C40" s="58">
        <v>22</v>
      </c>
      <c r="D40" s="17" t="s">
        <v>71</v>
      </c>
      <c r="E40" s="65"/>
      <c r="F40" s="66"/>
      <c r="G40" s="30"/>
      <c r="H40" s="8"/>
      <c r="I40" s="31"/>
      <c r="J40" s="77" t="str">
        <f t="shared" ca="1" si="3"/>
        <v/>
      </c>
      <c r="K40" s="78">
        <f t="shared" ca="1" si="4"/>
        <v>0.51</v>
      </c>
      <c r="L40" s="34"/>
      <c r="M40" s="46">
        <f t="shared" si="1"/>
        <v>0</v>
      </c>
      <c r="N40" s="68">
        <f t="array" ref="N40">SUM(G40:I40/$G$17:$I$17*$G$16:$I$16)</f>
        <v>0</v>
      </c>
      <c r="O40" s="68">
        <f t="shared" si="8"/>
        <v>0.16666666666666666</v>
      </c>
      <c r="P40" s="4">
        <f t="shared" si="9"/>
        <v>0</v>
      </c>
      <c r="Q40" s="4">
        <f t="shared" si="10"/>
        <v>0.85</v>
      </c>
      <c r="R40" s="4">
        <f t="shared" si="11"/>
        <v>0.51</v>
      </c>
      <c r="S40" s="4">
        <f t="shared" si="12"/>
        <v>0</v>
      </c>
      <c r="T40" s="4">
        <f t="shared" si="13"/>
        <v>0.51</v>
      </c>
      <c r="U40" s="4">
        <f t="shared" si="14"/>
        <v>0.51</v>
      </c>
      <c r="V40" s="4">
        <f t="shared" si="15"/>
        <v>0</v>
      </c>
      <c r="W40" s="4">
        <f t="shared" si="16"/>
        <v>0.49</v>
      </c>
      <c r="X40" s="4">
        <f t="shared" ca="1" si="17"/>
        <v>0.54444444444444473</v>
      </c>
      <c r="Y40" s="4">
        <f t="shared" ca="1" si="18"/>
        <v>0</v>
      </c>
      <c r="Z40" s="4">
        <f t="shared" ca="1" si="19"/>
        <v>0</v>
      </c>
      <c r="AA40" s="4">
        <f t="shared" ca="1" si="20"/>
        <v>0.51</v>
      </c>
    </row>
    <row r="41" spans="2:27" s="67" customFormat="1" x14ac:dyDescent="0.35">
      <c r="B41" s="88"/>
      <c r="C41" s="58">
        <v>23</v>
      </c>
      <c r="D41" s="17" t="s">
        <v>72</v>
      </c>
      <c r="E41" s="65"/>
      <c r="F41" s="66"/>
      <c r="G41" s="30"/>
      <c r="H41" s="8"/>
      <c r="I41" s="31"/>
      <c r="J41" s="77" t="str">
        <f t="shared" ca="1" si="3"/>
        <v/>
      </c>
      <c r="K41" s="78">
        <f t="shared" ca="1" si="4"/>
        <v>0.51</v>
      </c>
      <c r="L41" s="34"/>
      <c r="M41" s="46">
        <f t="shared" si="1"/>
        <v>0</v>
      </c>
      <c r="N41" s="68">
        <f t="array" ref="N41">SUM(G41:I41/$G$17:$I$17*$G$16:$I$16)</f>
        <v>0</v>
      </c>
      <c r="O41" s="68">
        <f t="shared" si="8"/>
        <v>0.16666666666666666</v>
      </c>
      <c r="P41" s="4">
        <f t="shared" si="9"/>
        <v>0</v>
      </c>
      <c r="Q41" s="4">
        <f t="shared" si="10"/>
        <v>0.85</v>
      </c>
      <c r="R41" s="4">
        <f t="shared" si="11"/>
        <v>0.51</v>
      </c>
      <c r="S41" s="4">
        <f t="shared" si="12"/>
        <v>0</v>
      </c>
      <c r="T41" s="4">
        <f t="shared" si="13"/>
        <v>0.51</v>
      </c>
      <c r="U41" s="4">
        <f t="shared" si="14"/>
        <v>0.51</v>
      </c>
      <c r="V41" s="4">
        <f t="shared" si="15"/>
        <v>0</v>
      </c>
      <c r="W41" s="4">
        <f t="shared" si="16"/>
        <v>0.49</v>
      </c>
      <c r="X41" s="4">
        <f t="shared" ca="1" si="17"/>
        <v>0.54444444444444473</v>
      </c>
      <c r="Y41" s="4">
        <f t="shared" ca="1" si="18"/>
        <v>0</v>
      </c>
      <c r="Z41" s="4">
        <f t="shared" ca="1" si="19"/>
        <v>0</v>
      </c>
      <c r="AA41" s="4">
        <f t="shared" ca="1" si="20"/>
        <v>0.51</v>
      </c>
    </row>
    <row r="42" spans="2:27" s="67" customFormat="1" x14ac:dyDescent="0.35">
      <c r="B42" s="88"/>
      <c r="C42" s="58">
        <v>24</v>
      </c>
      <c r="D42" s="17" t="s">
        <v>73</v>
      </c>
      <c r="E42" s="65"/>
      <c r="F42" s="66"/>
      <c r="G42" s="30"/>
      <c r="H42" s="8"/>
      <c r="I42" s="31"/>
      <c r="J42" s="77" t="str">
        <f t="shared" ca="1" si="3"/>
        <v/>
      </c>
      <c r="K42" s="78">
        <f t="shared" ca="1" si="4"/>
        <v>0.51</v>
      </c>
      <c r="L42" s="34"/>
      <c r="M42" s="46">
        <f t="shared" si="1"/>
        <v>0</v>
      </c>
      <c r="N42" s="68">
        <f t="array" ref="N42">SUM(G42:I42/$G$17:$I$17*$G$16:$I$16)</f>
        <v>0</v>
      </c>
      <c r="O42" s="68">
        <f t="shared" si="8"/>
        <v>0.16666666666666666</v>
      </c>
      <c r="P42" s="4">
        <f t="shared" si="9"/>
        <v>0</v>
      </c>
      <c r="Q42" s="4">
        <f t="shared" si="10"/>
        <v>0.85</v>
      </c>
      <c r="R42" s="4">
        <f t="shared" si="11"/>
        <v>0.51</v>
      </c>
      <c r="S42" s="4">
        <f t="shared" si="12"/>
        <v>0</v>
      </c>
      <c r="T42" s="4">
        <f t="shared" si="13"/>
        <v>0.51</v>
      </c>
      <c r="U42" s="4">
        <f t="shared" si="14"/>
        <v>0.51</v>
      </c>
      <c r="V42" s="4">
        <f t="shared" si="15"/>
        <v>0</v>
      </c>
      <c r="W42" s="4">
        <f t="shared" si="16"/>
        <v>0.49</v>
      </c>
      <c r="X42" s="4">
        <f t="shared" ca="1" si="17"/>
        <v>0.54444444444444473</v>
      </c>
      <c r="Y42" s="4">
        <f t="shared" ca="1" si="18"/>
        <v>0</v>
      </c>
      <c r="Z42" s="4">
        <f t="shared" ca="1" si="19"/>
        <v>0</v>
      </c>
      <c r="AA42" s="4">
        <f t="shared" ca="1" si="20"/>
        <v>0.51</v>
      </c>
    </row>
    <row r="43" spans="2:27" s="67" customFormat="1" ht="15" thickBot="1" x14ac:dyDescent="0.4">
      <c r="B43" s="88"/>
      <c r="C43" s="58">
        <v>25</v>
      </c>
      <c r="D43" s="69" t="s">
        <v>74</v>
      </c>
      <c r="E43" s="70"/>
      <c r="F43" s="71"/>
      <c r="G43" s="72"/>
      <c r="H43" s="73"/>
      <c r="I43" s="74"/>
      <c r="J43" s="75" t="str">
        <f t="shared" ca="1" si="3"/>
        <v/>
      </c>
      <c r="K43" s="76">
        <f t="shared" ca="1" si="4"/>
        <v>0.51</v>
      </c>
      <c r="L43" s="34"/>
      <c r="M43" s="46">
        <f t="shared" si="1"/>
        <v>0</v>
      </c>
      <c r="N43" s="68">
        <f t="array" ref="N43">SUM(G43:I43/$G$17:$I$17*$G$16:$I$16)</f>
        <v>0</v>
      </c>
      <c r="O43" s="68">
        <f t="shared" si="8"/>
        <v>0.16666666666666666</v>
      </c>
      <c r="P43" s="4">
        <f t="shared" si="9"/>
        <v>0</v>
      </c>
      <c r="Q43" s="4">
        <f t="shared" si="10"/>
        <v>0.85</v>
      </c>
      <c r="R43" s="4">
        <f t="shared" si="11"/>
        <v>0.51</v>
      </c>
      <c r="S43" s="4">
        <f t="shared" si="12"/>
        <v>0</v>
      </c>
      <c r="T43" s="4">
        <f t="shared" si="13"/>
        <v>0.51</v>
      </c>
      <c r="U43" s="4">
        <f t="shared" si="14"/>
        <v>0.51</v>
      </c>
      <c r="V43" s="4">
        <f t="shared" si="15"/>
        <v>0</v>
      </c>
      <c r="W43" s="4">
        <f t="shared" si="16"/>
        <v>0.49</v>
      </c>
      <c r="X43" s="4">
        <f t="shared" ca="1" si="17"/>
        <v>0.54444444444444473</v>
      </c>
      <c r="Y43" s="4">
        <f t="shared" ca="1" si="18"/>
        <v>0</v>
      </c>
      <c r="Z43" s="4">
        <f t="shared" ca="1" si="19"/>
        <v>0</v>
      </c>
      <c r="AA43" s="4">
        <f t="shared" ca="1" si="20"/>
        <v>0.51</v>
      </c>
    </row>
    <row r="44" spans="2:27" ht="15.5" thickTop="1" thickBot="1" x14ac:dyDescent="0.4">
      <c r="B44" s="88"/>
      <c r="D44" s="19"/>
      <c r="E44" s="10"/>
      <c r="F44" s="10"/>
      <c r="G44" s="32">
        <f ca="1">SUM(OFFSET(G19, 0, 0, $G$3, 1))</f>
        <v>1.0000000000000002</v>
      </c>
      <c r="H44" s="11">
        <f t="shared" ref="H44:I44" ca="1" si="21">SUM(OFFSET(H19, 0, 0, $G$3, 1))</f>
        <v>1.0000000000000002</v>
      </c>
      <c r="I44" s="33">
        <f t="shared" ca="1" si="21"/>
        <v>1.0000000000000002</v>
      </c>
      <c r="J44" s="11"/>
      <c r="K44" s="20">
        <f ca="1">AVERAGE(OFFSET(K19, 0, 0, $G$3, 1))</f>
        <v>0.85</v>
      </c>
      <c r="L44" s="34"/>
      <c r="M44" s="5" t="s">
        <v>35</v>
      </c>
      <c r="N44" s="4">
        <f>SUM(N19:N22)</f>
        <v>0.66666666666666674</v>
      </c>
      <c r="O44" s="4">
        <f>SUM(O19:O22)</f>
        <v>0.66666666666666663</v>
      </c>
      <c r="P44" s="4"/>
      <c r="Q44" s="4"/>
      <c r="R44" s="4"/>
      <c r="S44" s="4"/>
      <c r="T44" s="4"/>
      <c r="U44" s="4"/>
      <c r="V44" s="4">
        <f ca="1">SUM(OFFSET(V19, 0, 0, $G$3, 1))</f>
        <v>0</v>
      </c>
      <c r="W44" s="4">
        <f ca="1">SUM(OFFSET(W19, 0, 0, $G$3, 1))</f>
        <v>0.89999999999999947</v>
      </c>
      <c r="X44" s="2"/>
      <c r="Y44" s="2"/>
    </row>
    <row r="45" spans="2:27" s="6" customFormat="1" ht="14.25" customHeight="1" thickTop="1" x14ac:dyDescent="0.35">
      <c r="B45" s="88"/>
      <c r="G45" s="54"/>
      <c r="H45" s="37"/>
      <c r="I45" s="37"/>
      <c r="J45" s="37"/>
      <c r="K45" s="35"/>
      <c r="L45" s="36"/>
      <c r="M45" s="5" t="s">
        <v>36</v>
      </c>
      <c r="N45" s="2"/>
      <c r="O45" s="2"/>
      <c r="P45" s="4">
        <f>AVERAGE(P19:P22)</f>
        <v>1.0000000000000002</v>
      </c>
      <c r="Q45" s="4">
        <f>AVERAGE(Q19:Q22)</f>
        <v>0.85</v>
      </c>
      <c r="R45" s="4">
        <f t="shared" ref="R45:S45" si="22">AVERAGE(R19:R22)</f>
        <v>0.51</v>
      </c>
      <c r="S45" s="4">
        <f t="shared" si="22"/>
        <v>0.34000000000000008</v>
      </c>
      <c r="T45" s="4">
        <f>AVERAGE(T19:T22)</f>
        <v>0.85000000000000009</v>
      </c>
      <c r="U45" s="4">
        <f>AVERAGE(U19:U22)</f>
        <v>0.85000000000000009</v>
      </c>
      <c r="V45" s="4"/>
      <c r="W45" s="2"/>
      <c r="X45" s="4"/>
      <c r="Y45" s="49"/>
      <c r="Z45" s="2"/>
      <c r="AA45" s="2"/>
    </row>
    <row r="46" spans="2:27" s="6" customFormat="1" ht="12.4" customHeight="1" x14ac:dyDescent="0.35">
      <c r="B46" s="55"/>
      <c r="G46" s="57" t="s">
        <v>52</v>
      </c>
      <c r="H46" s="57" t="s">
        <v>52</v>
      </c>
      <c r="I46" s="57" t="s">
        <v>52</v>
      </c>
      <c r="J46" s="57"/>
      <c r="K46" s="35"/>
      <c r="L46" s="36"/>
      <c r="M46" s="5"/>
      <c r="N46" s="2"/>
      <c r="O46" s="2"/>
      <c r="P46" s="4"/>
      <c r="Q46" s="4"/>
      <c r="R46" s="4"/>
      <c r="S46" s="4"/>
      <c r="T46" s="4"/>
      <c r="U46" s="4"/>
      <c r="V46" s="4"/>
      <c r="W46" s="2"/>
      <c r="X46" s="4"/>
      <c r="Y46" s="49"/>
      <c r="Z46" s="2"/>
      <c r="AA46" s="2"/>
    </row>
    <row r="47" spans="2:27" s="6" customFormat="1" ht="31.15" hidden="1" customHeight="1" x14ac:dyDescent="0.35">
      <c r="G47" s="56" t="str">
        <f ca="1">IF(G44&lt;&gt;1,"La somme doit être égale à 100%","")</f>
        <v/>
      </c>
      <c r="H47" s="56" t="str">
        <f t="shared" ref="H47:I47" ca="1" si="23">IF(H44&lt;&gt;1,"La somme doit être égale à 100%","")</f>
        <v/>
      </c>
      <c r="I47" s="56" t="str">
        <f t="shared" ca="1" si="23"/>
        <v/>
      </c>
      <c r="J47" s="56"/>
      <c r="K47" s="35"/>
      <c r="L47" s="36"/>
      <c r="M47" s="3"/>
      <c r="N47" s="2"/>
      <c r="O47" s="2"/>
      <c r="P47" s="2"/>
      <c r="Q47" s="2"/>
      <c r="R47" s="2"/>
      <c r="S47" s="2"/>
      <c r="T47" s="2"/>
      <c r="U47" s="2"/>
      <c r="V47" s="2"/>
      <c r="W47" s="2"/>
      <c r="X47" s="49"/>
      <c r="Y47" s="49"/>
      <c r="Z47" s="2"/>
      <c r="AA47" s="2"/>
    </row>
    <row r="48" spans="2:27" s="6" customFormat="1" ht="14.5" hidden="1" customHeight="1" x14ac:dyDescent="0.35">
      <c r="H48" s="37"/>
      <c r="I48" s="37"/>
      <c r="J48" s="37"/>
      <c r="K48" s="35"/>
      <c r="L48" s="36"/>
      <c r="M48" s="47" t="s">
        <v>10</v>
      </c>
      <c r="N48" s="47" t="s">
        <v>12</v>
      </c>
      <c r="O48" s="47" t="s">
        <v>13</v>
      </c>
      <c r="P48" s="47" t="s">
        <v>14</v>
      </c>
      <c r="Q48" s="47" t="s">
        <v>15</v>
      </c>
      <c r="R48" s="47" t="s">
        <v>18</v>
      </c>
      <c r="S48" s="47" t="s">
        <v>19</v>
      </c>
      <c r="T48" s="47" t="s">
        <v>32</v>
      </c>
      <c r="U48" s="47" t="s">
        <v>33</v>
      </c>
      <c r="V48" s="47" t="s">
        <v>28</v>
      </c>
      <c r="W48" s="47" t="s">
        <v>37</v>
      </c>
      <c r="X48" s="47" t="s">
        <v>39</v>
      </c>
      <c r="Y48" s="47" t="s">
        <v>41</v>
      </c>
      <c r="Z48" s="47" t="s">
        <v>42</v>
      </c>
      <c r="AA48" s="47" t="s">
        <v>43</v>
      </c>
    </row>
    <row r="49" spans="5:27" hidden="1" x14ac:dyDescent="0.35">
      <c r="E49" s="43"/>
      <c r="F49" s="43"/>
      <c r="G49" s="40"/>
      <c r="H49" s="40"/>
      <c r="I49" s="40"/>
      <c r="J49" s="40"/>
      <c r="K49" s="38" t="s">
        <v>21</v>
      </c>
      <c r="L49" s="38"/>
      <c r="M49" s="59">
        <f>G3</f>
        <v>6</v>
      </c>
      <c r="N49" s="41"/>
      <c r="O49" s="41"/>
      <c r="P49" s="41"/>
      <c r="Q49" s="41"/>
      <c r="R49" s="41"/>
      <c r="S49" s="41"/>
      <c r="T49" s="41"/>
      <c r="U49" s="41"/>
      <c r="V49" s="41"/>
      <c r="W49" s="41"/>
      <c r="X49" s="44"/>
      <c r="Y49" s="44"/>
      <c r="Z49" s="41"/>
      <c r="AA49" s="41"/>
    </row>
    <row r="50" spans="5:27" hidden="1" x14ac:dyDescent="0.35">
      <c r="E50" s="48"/>
      <c r="F50" s="43"/>
      <c r="G50" s="40"/>
      <c r="H50" s="40"/>
      <c r="I50" s="40"/>
      <c r="J50" s="40"/>
      <c r="K50" s="38" t="s">
        <v>22</v>
      </c>
      <c r="L50" s="38"/>
      <c r="M50" s="39"/>
      <c r="N50" s="42"/>
      <c r="O50" s="41"/>
      <c r="P50" s="41"/>
      <c r="Q50" s="41"/>
      <c r="R50" s="41"/>
      <c r="S50" s="41"/>
      <c r="T50" s="41"/>
      <c r="U50" s="41"/>
      <c r="V50" s="41"/>
      <c r="W50" s="41"/>
      <c r="X50" s="44"/>
      <c r="Y50" s="44"/>
      <c r="Z50" s="41"/>
      <c r="AA50" s="41"/>
    </row>
    <row r="51" spans="5:27" hidden="1" x14ac:dyDescent="0.35">
      <c r="E51" s="48"/>
      <c r="F51" s="43"/>
      <c r="G51" s="40"/>
      <c r="H51" s="40"/>
      <c r="I51" s="40"/>
      <c r="J51" s="40"/>
      <c r="K51" s="38" t="s">
        <v>23</v>
      </c>
      <c r="L51" s="38"/>
      <c r="M51" s="39"/>
      <c r="N51" s="40"/>
      <c r="O51" s="42"/>
      <c r="P51" s="41"/>
      <c r="Q51" s="41"/>
      <c r="R51" s="41"/>
      <c r="S51" s="41"/>
      <c r="T51" s="41"/>
      <c r="U51" s="41"/>
      <c r="V51" s="41"/>
      <c r="W51" s="41"/>
      <c r="X51" s="44"/>
      <c r="Y51" s="44"/>
      <c r="Z51" s="41"/>
      <c r="AA51" s="41"/>
    </row>
    <row r="52" spans="5:27" hidden="1" x14ac:dyDescent="0.35">
      <c r="E52" s="48"/>
      <c r="F52" s="43"/>
      <c r="G52" s="40"/>
      <c r="H52" s="40"/>
      <c r="I52" s="40"/>
      <c r="J52" s="40"/>
      <c r="K52" s="38" t="s">
        <v>24</v>
      </c>
      <c r="L52" s="38"/>
      <c r="M52" s="39"/>
      <c r="N52" s="40"/>
      <c r="O52" s="40"/>
      <c r="P52" s="42"/>
      <c r="Q52" s="41"/>
      <c r="R52" s="41"/>
      <c r="S52" s="41"/>
      <c r="T52" s="41"/>
      <c r="U52" s="41"/>
      <c r="V52" s="41"/>
      <c r="W52" s="41"/>
      <c r="X52" s="44"/>
      <c r="Y52" s="44"/>
      <c r="Z52" s="41"/>
      <c r="AA52" s="41"/>
    </row>
    <row r="53" spans="5:27" hidden="1" x14ac:dyDescent="0.35">
      <c r="E53" s="48"/>
      <c r="F53" s="43"/>
      <c r="G53" s="40"/>
      <c r="H53" s="40"/>
      <c r="I53" s="40"/>
      <c r="J53" s="40"/>
      <c r="K53" s="38" t="s">
        <v>25</v>
      </c>
      <c r="L53" s="38"/>
      <c r="M53" s="39"/>
      <c r="N53" s="40"/>
      <c r="O53" s="40"/>
      <c r="P53" s="40"/>
      <c r="Q53" s="42"/>
      <c r="R53" s="41"/>
      <c r="S53" s="41"/>
      <c r="T53" s="41"/>
      <c r="U53" s="41"/>
      <c r="V53" s="41"/>
      <c r="W53" s="41"/>
      <c r="X53" s="44"/>
      <c r="Y53" s="44"/>
      <c r="Z53" s="41"/>
      <c r="AA53" s="41"/>
    </row>
    <row r="54" spans="5:27" hidden="1" x14ac:dyDescent="0.35">
      <c r="E54" s="48"/>
      <c r="F54" s="43"/>
      <c r="G54" s="40"/>
      <c r="H54" s="40"/>
      <c r="I54" s="43"/>
      <c r="J54" s="43"/>
      <c r="K54" s="38" t="s">
        <v>27</v>
      </c>
      <c r="L54" s="38"/>
      <c r="M54" s="39"/>
      <c r="N54" s="40"/>
      <c r="O54" s="40"/>
      <c r="P54" s="40"/>
      <c r="Q54" s="40"/>
      <c r="R54" s="42"/>
      <c r="S54" s="41"/>
      <c r="T54" s="41"/>
      <c r="U54" s="41"/>
      <c r="V54" s="41"/>
      <c r="W54" s="41"/>
      <c r="X54" s="44"/>
      <c r="Y54" s="44"/>
      <c r="Z54" s="41"/>
      <c r="AA54" s="41"/>
    </row>
    <row r="55" spans="5:27" hidden="1" x14ac:dyDescent="0.35">
      <c r="E55" s="48"/>
      <c r="F55" s="43"/>
      <c r="G55" s="40"/>
      <c r="H55" s="40"/>
      <c r="I55" s="40"/>
      <c r="J55" s="40"/>
      <c r="K55" s="38" t="s">
        <v>26</v>
      </c>
      <c r="L55" s="38"/>
      <c r="M55" s="39"/>
      <c r="N55" s="40"/>
      <c r="O55" s="40"/>
      <c r="P55" s="40"/>
      <c r="Q55" s="40"/>
      <c r="R55" s="40"/>
      <c r="S55" s="42"/>
      <c r="T55" s="41"/>
      <c r="U55" s="41"/>
      <c r="V55" s="41"/>
      <c r="W55" s="41"/>
      <c r="X55" s="44"/>
      <c r="Y55" s="44"/>
      <c r="Z55" s="41"/>
      <c r="AA55" s="41"/>
    </row>
    <row r="56" spans="5:27" hidden="1" x14ac:dyDescent="0.35">
      <c r="E56" s="48"/>
      <c r="F56" s="43"/>
      <c r="G56" s="40"/>
      <c r="H56" s="40"/>
      <c r="I56" s="40"/>
      <c r="J56" s="40"/>
      <c r="K56" s="38" t="s">
        <v>30</v>
      </c>
      <c r="L56" s="38"/>
      <c r="M56" s="39"/>
      <c r="N56" s="40"/>
      <c r="O56" s="40"/>
      <c r="P56" s="40"/>
      <c r="Q56" s="40"/>
      <c r="R56" s="40"/>
      <c r="S56" s="40"/>
      <c r="T56" s="42"/>
      <c r="U56" s="41"/>
      <c r="V56" s="41"/>
      <c r="W56" s="41"/>
      <c r="X56" s="44"/>
      <c r="Y56" s="44"/>
      <c r="Z56" s="41"/>
      <c r="AA56" s="41"/>
    </row>
    <row r="57" spans="5:27" hidden="1" x14ac:dyDescent="0.35">
      <c r="E57" s="48"/>
      <c r="F57" s="43"/>
      <c r="G57" s="40"/>
      <c r="H57" s="40"/>
      <c r="I57" s="40"/>
      <c r="J57" s="40"/>
      <c r="K57" s="38" t="s">
        <v>31</v>
      </c>
      <c r="L57" s="38"/>
      <c r="M57" s="39"/>
      <c r="N57" s="40"/>
      <c r="O57" s="40"/>
      <c r="P57" s="40"/>
      <c r="Q57" s="40"/>
      <c r="R57" s="40"/>
      <c r="S57" s="40"/>
      <c r="T57" s="40"/>
      <c r="U57" s="42"/>
      <c r="V57" s="41"/>
      <c r="W57" s="41"/>
      <c r="X57" s="44"/>
      <c r="Y57" s="44"/>
      <c r="Z57" s="41"/>
      <c r="AA57" s="41"/>
    </row>
    <row r="58" spans="5:27" hidden="1" x14ac:dyDescent="0.35">
      <c r="E58" s="48"/>
      <c r="F58" s="43"/>
      <c r="G58" s="40"/>
      <c r="H58" s="40"/>
      <c r="I58" s="40"/>
      <c r="J58" s="40"/>
      <c r="K58" s="38" t="s">
        <v>29</v>
      </c>
      <c r="L58" s="38"/>
      <c r="M58" s="39"/>
      <c r="N58" s="40"/>
      <c r="O58" s="40"/>
      <c r="P58" s="40"/>
      <c r="Q58" s="40"/>
      <c r="R58" s="40"/>
      <c r="S58" s="40"/>
      <c r="T58" s="40"/>
      <c r="U58" s="40"/>
      <c r="V58" s="42"/>
      <c r="W58" s="41"/>
      <c r="X58" s="44"/>
      <c r="Y58" s="44"/>
      <c r="Z58" s="41"/>
      <c r="AA58" s="41"/>
    </row>
    <row r="59" spans="5:27" hidden="1" x14ac:dyDescent="0.35">
      <c r="E59" s="48"/>
      <c r="F59" s="43"/>
      <c r="G59" s="40"/>
      <c r="H59" s="40"/>
      <c r="I59" s="40"/>
      <c r="J59" s="40"/>
      <c r="K59" s="38" t="s">
        <v>38</v>
      </c>
      <c r="L59" s="38"/>
      <c r="M59" s="39"/>
      <c r="N59" s="40"/>
      <c r="O59" s="40"/>
      <c r="P59" s="40"/>
      <c r="Q59" s="40"/>
      <c r="R59" s="40"/>
      <c r="S59" s="40"/>
      <c r="T59" s="40"/>
      <c r="U59" s="40"/>
      <c r="V59" s="40"/>
      <c r="W59" s="42"/>
      <c r="X59" s="44"/>
      <c r="Y59" s="44"/>
      <c r="Z59" s="41"/>
      <c r="AA59" s="41"/>
    </row>
    <row r="60" spans="5:27" hidden="1" x14ac:dyDescent="0.35">
      <c r="E60" s="48"/>
      <c r="F60" s="43"/>
      <c r="G60" s="40"/>
      <c r="H60" s="40"/>
      <c r="I60" s="40"/>
      <c r="J60" s="40"/>
      <c r="K60" s="38" t="s">
        <v>40</v>
      </c>
      <c r="L60" s="38"/>
      <c r="M60" s="39"/>
      <c r="N60" s="40"/>
      <c r="O60" s="40"/>
      <c r="P60" s="40"/>
      <c r="Q60" s="40"/>
      <c r="R60" s="40"/>
      <c r="S60" s="40"/>
      <c r="T60" s="40"/>
      <c r="U60" s="40"/>
      <c r="V60" s="40"/>
      <c r="W60" s="40"/>
      <c r="X60" s="45"/>
      <c r="Y60" s="44"/>
      <c r="Z60" s="41"/>
      <c r="AA60" s="41"/>
    </row>
    <row r="61" spans="5:27" hidden="1" x14ac:dyDescent="0.35">
      <c r="E61" s="48"/>
      <c r="F61" s="43"/>
      <c r="G61" s="40"/>
      <c r="H61" s="40"/>
      <c r="I61" s="40"/>
      <c r="J61" s="40"/>
      <c r="K61" s="38" t="s">
        <v>45</v>
      </c>
      <c r="L61" s="38"/>
      <c r="M61" s="39"/>
      <c r="N61" s="40"/>
      <c r="O61" s="40"/>
      <c r="P61" s="40"/>
      <c r="Q61" s="40"/>
      <c r="R61" s="40"/>
      <c r="S61" s="40"/>
      <c r="T61" s="40"/>
      <c r="U61" s="40"/>
      <c r="V61" s="40"/>
      <c r="W61" s="40"/>
      <c r="X61" s="43"/>
      <c r="Y61" s="45"/>
      <c r="Z61" s="41"/>
      <c r="AA61" s="41"/>
    </row>
    <row r="62" spans="5:27" hidden="1" x14ac:dyDescent="0.35">
      <c r="E62" s="48"/>
      <c r="F62" s="43"/>
      <c r="G62" s="40"/>
      <c r="H62" s="40"/>
      <c r="I62" s="40"/>
      <c r="J62" s="40"/>
      <c r="K62" s="38" t="s">
        <v>46</v>
      </c>
      <c r="L62" s="38"/>
      <c r="M62" s="39"/>
      <c r="N62" s="40"/>
      <c r="O62" s="40"/>
      <c r="P62" s="40"/>
      <c r="Q62" s="40"/>
      <c r="R62" s="40"/>
      <c r="S62" s="40"/>
      <c r="T62" s="40"/>
      <c r="U62" s="40"/>
      <c r="V62" s="40"/>
      <c r="W62" s="40"/>
      <c r="X62" s="43"/>
      <c r="Y62" s="43"/>
      <c r="Z62" s="42"/>
      <c r="AA62" s="41"/>
    </row>
    <row r="63" spans="5:27" hidden="1" x14ac:dyDescent="0.35">
      <c r="E63" s="48"/>
      <c r="F63" s="43"/>
      <c r="G63" s="40"/>
      <c r="H63" s="40"/>
      <c r="I63" s="40"/>
      <c r="J63" s="40"/>
      <c r="K63" s="38" t="s">
        <v>44</v>
      </c>
      <c r="L63" s="38"/>
      <c r="M63" s="39"/>
      <c r="N63" s="40"/>
      <c r="O63" s="40"/>
      <c r="P63" s="40"/>
      <c r="Q63" s="40"/>
      <c r="R63" s="40"/>
      <c r="S63" s="40"/>
      <c r="T63" s="40"/>
      <c r="U63" s="40"/>
      <c r="V63" s="40"/>
      <c r="W63" s="40"/>
      <c r="X63" s="43"/>
      <c r="Y63" s="43"/>
      <c r="Z63" s="40"/>
      <c r="AA63" s="42"/>
    </row>
    <row r="64" spans="5:27" hidden="1" x14ac:dyDescent="0.35"/>
    <row r="65" spans="12:12" hidden="1" x14ac:dyDescent="0.35">
      <c r="L65" s="38" t="s">
        <v>21</v>
      </c>
    </row>
    <row r="66" spans="12:12" hidden="1" x14ac:dyDescent="0.35">
      <c r="L66" s="38" t="s">
        <v>22</v>
      </c>
    </row>
    <row r="67" spans="12:12" hidden="1" x14ac:dyDescent="0.35">
      <c r="L67" s="38" t="s">
        <v>23</v>
      </c>
    </row>
    <row r="68" spans="12:12" hidden="1" x14ac:dyDescent="0.35">
      <c r="L68" s="38" t="s">
        <v>24</v>
      </c>
    </row>
    <row r="69" spans="12:12" hidden="1" x14ac:dyDescent="0.35">
      <c r="L69" s="38" t="s">
        <v>25</v>
      </c>
    </row>
    <row r="70" spans="12:12" hidden="1" x14ac:dyDescent="0.35">
      <c r="L70" s="38" t="s">
        <v>27</v>
      </c>
    </row>
    <row r="71" spans="12:12" hidden="1" x14ac:dyDescent="0.35">
      <c r="L71" s="38" t="s">
        <v>26</v>
      </c>
    </row>
    <row r="72" spans="12:12" hidden="1" x14ac:dyDescent="0.35">
      <c r="L72" s="38" t="s">
        <v>30</v>
      </c>
    </row>
    <row r="73" spans="12:12" hidden="1" x14ac:dyDescent="0.35">
      <c r="L73" s="38" t="s">
        <v>31</v>
      </c>
    </row>
    <row r="74" spans="12:12" hidden="1" x14ac:dyDescent="0.35">
      <c r="L74" s="38" t="s">
        <v>29</v>
      </c>
    </row>
    <row r="75" spans="12:12" hidden="1" x14ac:dyDescent="0.35">
      <c r="L75" s="38" t="s">
        <v>38</v>
      </c>
    </row>
    <row r="76" spans="12:12" hidden="1" x14ac:dyDescent="0.35">
      <c r="L76" s="38" t="s">
        <v>40</v>
      </c>
    </row>
    <row r="77" spans="12:12" hidden="1" x14ac:dyDescent="0.35">
      <c r="L77" s="38" t="s">
        <v>45</v>
      </c>
    </row>
    <row r="78" spans="12:12" hidden="1" x14ac:dyDescent="0.35">
      <c r="L78" s="38" t="s">
        <v>46</v>
      </c>
    </row>
    <row r="79" spans="12:12" hidden="1" x14ac:dyDescent="0.35">
      <c r="L79" s="38" t="s">
        <v>44</v>
      </c>
    </row>
    <row r="80" spans="12:12" hidden="1" x14ac:dyDescent="0.35"/>
  </sheetData>
  <sheetProtection algorithmName="SHA-512" hashValue="d2wj9CCEuGw4Mg6otQpiYDLe9ScqX7RqQ3VxEP8wAjD/h08OAkcxvAV0OuVlGLs0lDzKZe11zE9KnrJqQ3HHBQ==" saltValue="cDUUGHebzs7qC23bO1RmFA==" spinCount="100000" sheet="1" objects="1" scenarios="1" selectLockedCells="1"/>
  <mergeCells count="17">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 ref="J15:K15"/>
  </mergeCells>
  <conditionalFormatting sqref="D19: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19:E43" xr:uid="{05545D79-A9F7-415E-9E35-7C754782A697}"/>
    <dataValidation allowBlank="1" showInputMessage="1" showErrorMessage="1" promptTitle="Identification" prompt="Veuillez saisir le nom suivi du prénom de l'étudiant." sqref="F19:F43" xr:uid="{6307AC23-55CE-40CF-A09B-D90E1E8D0103}"/>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workbookViewId="0"/>
  </sheetViews>
  <sheetFormatPr baseColWidth="10" defaultColWidth="9.08984375" defaultRowHeight="14.5" x14ac:dyDescent="0.35"/>
  <cols>
    <col min="1" max="1" width="2.6328125" style="67" customWidth="1"/>
    <col min="2" max="2" width="9.08984375" style="67" customWidth="1"/>
    <col min="3" max="3" width="12.6328125" style="67" customWidth="1"/>
    <col min="4" max="4" width="93.54296875" style="67" customWidth="1"/>
    <col min="5" max="5" width="2" style="67" customWidth="1"/>
    <col min="6" max="16384" width="9.08984375" style="67"/>
  </cols>
  <sheetData>
    <row r="2" spans="2:5" ht="15.5" x14ac:dyDescent="0.35">
      <c r="B2" s="83" t="s">
        <v>93</v>
      </c>
      <c r="C2" s="83"/>
      <c r="D2" s="83"/>
      <c r="E2" s="83"/>
    </row>
    <row r="3" spans="2:5" ht="5.75" customHeight="1" x14ac:dyDescent="0.35"/>
    <row r="4" spans="2:5" x14ac:dyDescent="0.35">
      <c r="B4" s="67" t="s">
        <v>77</v>
      </c>
    </row>
    <row r="6" spans="2:5" x14ac:dyDescent="0.35">
      <c r="B6" s="67" t="s">
        <v>78</v>
      </c>
    </row>
    <row r="8" spans="2:5" ht="15.5" x14ac:dyDescent="0.35">
      <c r="B8" s="83" t="s">
        <v>94</v>
      </c>
      <c r="C8" s="83"/>
      <c r="D8" s="83"/>
      <c r="E8" s="83"/>
    </row>
    <row r="9" spans="2:5" ht="5.75" customHeight="1" x14ac:dyDescent="0.35"/>
    <row r="10" spans="2:5" x14ac:dyDescent="0.35">
      <c r="B10" s="67" t="s">
        <v>79</v>
      </c>
    </row>
    <row r="11" spans="2:5" x14ac:dyDescent="0.35">
      <c r="B11" s="67">
        <v>1</v>
      </c>
      <c r="C11" s="84" t="s">
        <v>6</v>
      </c>
      <c r="D11" s="67" t="s">
        <v>80</v>
      </c>
    </row>
    <row r="12" spans="2:5" ht="29" x14ac:dyDescent="0.35">
      <c r="C12" s="84"/>
      <c r="D12" s="85" t="s">
        <v>83</v>
      </c>
    </row>
    <row r="13" spans="2:5" x14ac:dyDescent="0.35">
      <c r="B13" s="67">
        <v>2</v>
      </c>
      <c r="C13" s="84" t="s">
        <v>7</v>
      </c>
      <c r="D13" s="67" t="s">
        <v>81</v>
      </c>
    </row>
    <row r="14" spans="2:5" x14ac:dyDescent="0.35">
      <c r="C14" s="84"/>
      <c r="D14" s="86" t="s">
        <v>82</v>
      </c>
    </row>
    <row r="15" spans="2:5" x14ac:dyDescent="0.35">
      <c r="B15" s="67">
        <v>3</v>
      </c>
      <c r="C15" s="84" t="s">
        <v>8</v>
      </c>
      <c r="D15" s="67" t="s">
        <v>84</v>
      </c>
    </row>
    <row r="16" spans="2:5" x14ac:dyDescent="0.35">
      <c r="D16" s="86" t="s">
        <v>95</v>
      </c>
    </row>
    <row r="18" spans="2:5" ht="15.5" x14ac:dyDescent="0.35">
      <c r="B18" s="83" t="s">
        <v>85</v>
      </c>
      <c r="C18" s="83"/>
      <c r="D18" s="83"/>
      <c r="E18" s="83"/>
    </row>
    <row r="19" spans="2:5" ht="5.75" customHeight="1" thickBot="1" x14ac:dyDescent="0.4"/>
    <row r="20" spans="2:5" ht="15" thickBot="1" x14ac:dyDescent="0.4">
      <c r="C20" s="116" t="s">
        <v>86</v>
      </c>
      <c r="D20" s="117"/>
    </row>
    <row r="21" spans="2:5" ht="15" thickBot="1" x14ac:dyDescent="0.4">
      <c r="C21" s="115" t="s">
        <v>87</v>
      </c>
      <c r="D21" s="115"/>
    </row>
    <row r="22" spans="2:5" ht="15" thickBot="1" x14ac:dyDescent="0.4">
      <c r="C22" s="118" t="s">
        <v>88</v>
      </c>
      <c r="D22" s="118"/>
    </row>
    <row r="24" spans="2:5" x14ac:dyDescent="0.35">
      <c r="B24" s="67">
        <v>1</v>
      </c>
      <c r="C24" s="67" t="s">
        <v>76</v>
      </c>
    </row>
    <row r="25" spans="2:5" x14ac:dyDescent="0.35">
      <c r="B25" s="67">
        <v>2</v>
      </c>
      <c r="C25" s="67" t="s">
        <v>89</v>
      </c>
    </row>
    <row r="26" spans="2:5" x14ac:dyDescent="0.35">
      <c r="B26" s="67">
        <v>3</v>
      </c>
      <c r="C26" s="67" t="s">
        <v>90</v>
      </c>
    </row>
    <row r="27" spans="2:5" x14ac:dyDescent="0.35">
      <c r="C27" s="67" t="s">
        <v>91</v>
      </c>
    </row>
    <row r="29" spans="2:5" x14ac:dyDescent="0.35">
      <c r="B29" s="119" t="s">
        <v>92</v>
      </c>
      <c r="C29" s="119"/>
      <c r="D29" s="119"/>
      <c r="E29" s="119"/>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Dumesnil Laurent</cp:lastModifiedBy>
  <dcterms:created xsi:type="dcterms:W3CDTF">2017-04-21T04:31:41Z</dcterms:created>
  <dcterms:modified xsi:type="dcterms:W3CDTF">2026-04-13T17:55:01Z</dcterms:modified>
</cp:coreProperties>
</file>